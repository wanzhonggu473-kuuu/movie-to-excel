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bea4eaa57b4ab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我的电影" sheetId="1" r:id="R60c42eb6bb8240ed"/>
    <x:sheet xmlns:r="http://schemas.openxmlformats.org/officeDocument/2006/relationships" name="地区横向" sheetId="2" r:id="R8e617004f0504a6f"/>
    <x:sheet xmlns:r="http://schemas.openxmlformats.org/officeDocument/2006/relationships" name="标准清单" sheetId="3" r:id="Rec4257d1adeb4ebb"/>
    <x:sheet xmlns:r="http://schemas.openxmlformats.org/officeDocument/2006/relationships" name="电影数据库" sheetId="4" r:id="Rc2690c44358c4afe"/>
    <x:sheet xmlns:r="http://schemas.openxmlformats.org/officeDocument/2006/relationships" name="统计" sheetId="5" r:id="R0cfd099f7c4a4a4b"/>
    <x:sheet xmlns:r="http://schemas.openxmlformats.org/officeDocument/2006/relationships" name="设置" sheetId="6" r:id="Rf9b76d10923d4ea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6">
    <x:font>
      <x:sz val="11"/>
      <x:name val="Carlito"/>
    </x:font>
    <x:font>
      <x:b/>
      <x:sz val="11"/>
      <x:color rgb="FFFFFFFF"/>
      <x:name val="Carlito"/>
    </x:font>
    <x:font>
      <x:b/>
      <x:sz val="11"/>
      <x:color rgb="FF183153"/>
      <x:name val="Carlito"/>
    </x:font>
    <x:font>
      <x:i/>
      <x:sz val="11"/>
      <x:color rgb="FF64748B"/>
      <x:name val="Carlito"/>
    </x:font>
    <x:font>
      <x:sz val="11"/>
      <x:color rgb="FF183153"/>
      <x:name val="Carlito"/>
    </x:font>
    <x:font>
      <x:b/>
      <x:i/>
      <x:sz val="11"/>
      <x:color rgb="FFFFFFFF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83153"/>
      </x:patternFill>
    </x:fill>
    <x:fill>
      <x:patternFill patternType="solid">
        <x:fgColor rgb="FFF8FAFC"/>
      </x:patternFill>
    </x:fill>
    <x:fill>
      <x:patternFill patternType="solid">
        <x:fgColor rgb="FFFFF5CC"/>
      </x:patternFill>
    </x:fill>
    <x:fill>
      <x:patternFill patternType="solid">
        <x:fgColor rgb="FFFFFFFF"/>
      </x:patternFill>
    </x:fill>
    <x:fill>
      <x:patternFill patternType="solid">
        <x:fgColor rgb="FFF3FAF0"/>
      </x:patternFill>
    </x:fill>
    <x:fill>
      <x:patternFill patternType="solid">
        <x:fgColor rgb="FFDFF0D8"/>
      </x:patternFill>
    </x:fill>
    <x:fill>
      <x:patternFill patternType="solid">
        <x:fgColor rgb="FF183153"/>
      </x:patternFill>
    </x:fill>
    <x:fill>
      <x:patternFill patternType="solid">
        <x:fgColor rgb="FFF3FAF0"/>
      </x:patternFill>
    </x:fill>
  </x:fills>
  <x:borders count="22">
    <x:border/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left style="thin">
        <x:color rgb="FFCBD5E1"/>
      </x:left>
      <x:top style="thin">
        <x:color rgb="FFCBD5E1"/>
      </x:top>
    </x:border>
    <x:border>
      <x:top style="thin">
        <x:color rgb="FFCBD5E1"/>
      </x:top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</x:border>
    <x:border>
      <x:right style="thin">
        <x:color rgb="FFCBD5E1"/>
      </x:right>
    </x:border>
    <x:border>
      <x:left style="thin">
        <x:color rgb="FFCBD5E1"/>
      </x:left>
      <x:bottom style="thin">
        <x:color rgb="FFCBD5E1"/>
      </x:bottom>
    </x:border>
    <x:border>
      <x:right style="thin">
        <x:color rgb="FFCBD5E1"/>
      </x:right>
      <x:bottom style="thin">
        <x:color rgb="FFCBD5E1"/>
      </x:bottom>
    </x:border>
    <x:border>
      <x:left style="thin">
        <x:color rgb="FFCBD5E1"/>
      </x:left>
      <x:bottom style="thin">
        <x:color rgb="FFD7E8D0"/>
      </x:bottom>
    </x:border>
    <x:border>
      <x:bottom style="thin">
        <x:color rgb="FFD7E8D0"/>
      </x:bottom>
    </x:border>
    <x:border>
      <x:left style="thin">
        <x:color rgb="FFCBD5E1"/>
      </x:left>
      <x:top style="thin">
        <x:color rgb="FFD7E8D0"/>
      </x:top>
      <x:bottom style="thin">
        <x:color rgb="FFD7E8D0"/>
      </x:bottom>
    </x:border>
    <x:border>
      <x:top style="thin">
        <x:color rgb="FFD7E8D0"/>
      </x:top>
      <x:bottom style="thin">
        <x:color rgb="FFD7E8D0"/>
      </x:bottom>
    </x:border>
    <x:border>
      <x:left style="thin">
        <x:color rgb="FFCBD5E1"/>
      </x:left>
      <x:top style="thin">
        <x:color rgb="FFD7E8D0"/>
      </x:top>
    </x:border>
    <x:border>
      <x:top style="thin">
        <x:color rgb="FFD7E8D0"/>
      </x:top>
    </x:border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CBD5E1"/>
      </x:left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  <x:right style="thin">
        <x:color rgb="FFCBD5E1"/>
      </x:right>
    </x:border>
  </x:borders>
  <x:cellStyleXfs count="1">
    <x:xf numFmtId="0" fontId="0" fillId="0" borderId="0"/>
  </x:cellStyleXfs>
  <x:cellXfs count="9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/>
    <x:xf numFmtId="0" fontId="0" fillId="4" borderId="1" xfId="0" applyNumberFormat="1" applyFont="1" applyFill="1" applyBorder="1"/>
    <x:xf numFmtId="0" fontId="0" fillId="0" borderId="1" xfId="0" applyNumberFormat="1" applyFont="1" applyFill="1" applyBorder="1"/>
    <x:xf numFmtId="0" fontId="1" fillId="2" borderId="1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0" fillId="5" borderId="0" xfId="0" applyNumberFormat="1" applyFont="1" applyFill="1" applyBorder="1"/>
    <x:xf numFmtId="0" fontId="0" fillId="5" borderId="2" xfId="0" applyNumberFormat="1" applyFont="1" applyFill="1" applyBorder="1"/>
    <x:xf numFmtId="0" fontId="0" fillId="5" borderId="3" xfId="0" applyNumberFormat="1" applyFont="1" applyFill="1" applyBorder="1"/>
    <x:xf numFmtId="200" fontId="0" fillId="5" borderId="2" xfId="0" applyNumberFormat="1" applyFont="1" applyFill="1" applyBorder="1"/>
    <x:xf numFmtId="200" fontId="0" fillId="5" borderId="3" xfId="0" applyNumberFormat="1" applyFont="1" applyFill="1" applyBorder="1"/>
    <x:xf numFmtId="200" fontId="0" fillId="0" borderId="0" xfId="0" applyNumberFormat="1" applyFont="1" applyFill="1" applyBorder="1"/>
    <x:xf numFmtId="201" fontId="0" fillId="5" borderId="2" xfId="0" applyNumberFormat="1" applyFont="1" applyFill="1" applyBorder="1"/>
    <x:xf numFmtId="201" fontId="0" fillId="5" borderId="3" xfId="0" applyNumberFormat="1" applyFont="1" applyFill="1" applyBorder="1"/>
    <x:xf numFmtId="201" fontId="0" fillId="0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horizontal="center"/>
    </x:xf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horizontal="center"/>
    </x:xf>
    <x:xf numFmtId="0" fontId="1" fillId="2" borderId="4" xfId="0" applyNumberFormat="1" applyFont="1" applyFill="1" applyBorder="1" applyAlignment="1">
      <x:alignment horizontal="center"/>
    </x:xf>
    <x:xf numFmtId="0" fontId="1" fillId="2" borderId="5" xfId="0" applyNumberFormat="1" applyFont="1" applyFill="1" applyBorder="1" applyAlignment="1">
      <x:alignment horizontal="center"/>
    </x:xf>
    <x:xf numFmtId="0" fontId="1" fillId="2" borderId="6" xfId="0" applyNumberFormat="1" applyFont="1" applyFill="1" applyBorder="1" applyAlignment="1">
      <x:alignment horizontal="center"/>
    </x:xf>
    <x:xf numFmtId="0" fontId="2" fillId="4" borderId="7" xfId="0" applyNumberFormat="1" applyFont="1" applyFill="1" applyBorder="1" applyAlignment="1">
      <x:alignment horizontal="center"/>
    </x:xf>
    <x:xf numFmtId="0" fontId="2" fillId="4" borderId="8" xfId="0" applyNumberFormat="1" applyFont="1" applyFill="1" applyBorder="1" applyAlignment="1">
      <x:alignment horizontal="center"/>
    </x:xf>
    <x:xf numFmtId="0" fontId="3" fillId="3" borderId="7" xfId="0" applyNumberFormat="1" applyFont="1" applyFill="1" applyBorder="1" applyAlignment="1">
      <x:alignment horizontal="center"/>
    </x:xf>
    <x:xf numFmtId="0" fontId="3" fillId="3" borderId="8" xfId="0" applyNumberFormat="1" applyFont="1" applyFill="1" applyBorder="1" applyAlignment="1">
      <x:alignment horizontal="center"/>
    </x:xf>
    <x:xf numFmtId="0" fontId="0" fillId="0" borderId="7" xfId="0" applyNumberFormat="1" applyFont="1" applyFill="1" applyBorder="1"/>
    <x:xf numFmtId="0" fontId="0" fillId="0" borderId="0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2" xfId="0" applyNumberFormat="1" applyFont="1" applyFill="1" applyBorder="1"/>
    <x:xf numFmtId="0" fontId="0" fillId="0" borderId="10" xfId="0" applyNumberFormat="1" applyFont="1" applyFill="1" applyBorder="1"/>
    <x:xf numFmtId="0" fontId="0" fillId="6" borderId="7" xfId="0" applyNumberFormat="1" applyFont="1" applyFill="1" applyBorder="1"/>
    <x:xf numFmtId="0" fontId="0" fillId="6" borderId="0" xfId="0" applyNumberFormat="1" applyFont="1" applyFill="1" applyBorder="1"/>
    <x:xf numFmtId="0" fontId="0" fillId="6" borderId="8" xfId="0" applyNumberFormat="1" applyFont="1" applyFill="1" applyBorder="1"/>
    <x:xf numFmtId="0" fontId="0" fillId="6" borderId="9" xfId="0" applyNumberFormat="1" applyFont="1" applyFill="1" applyBorder="1"/>
    <x:xf numFmtId="0" fontId="0" fillId="6" borderId="2" xfId="0" applyNumberFormat="1" applyFont="1" applyFill="1" applyBorder="1"/>
    <x:xf numFmtId="0" fontId="0" fillId="6" borderId="10" xfId="0" applyNumberFormat="1" applyFont="1" applyFill="1" applyBorder="1"/>
    <x:xf numFmtId="0" fontId="0" fillId="6" borderId="11" xfId="0" applyNumberFormat="1" applyFont="1" applyFill="1" applyBorder="1"/>
    <x:xf numFmtId="0" fontId="0" fillId="6" borderId="12" xfId="0" applyNumberFormat="1" applyFont="1" applyFill="1" applyBorder="1"/>
    <x:xf numFmtId="0" fontId="0" fillId="6" borderId="13" xfId="0" applyNumberFormat="1" applyFont="1" applyFill="1" applyBorder="1"/>
    <x:xf numFmtId="0" fontId="0" fillId="6" borderId="14" xfId="0" applyNumberFormat="1" applyFont="1" applyFill="1" applyBorder="1"/>
    <x:xf numFmtId="0" fontId="0" fillId="6" borderId="15" xfId="0" applyNumberFormat="1" applyFont="1" applyFill="1" applyBorder="1"/>
    <x:xf numFmtId="0" fontId="0" fillId="6" borderId="16" xfId="0" applyNumberFormat="1" applyFont="1" applyFill="1" applyBorder="1"/>
    <x:xf numFmtId="0" fontId="2" fillId="4" borderId="17" xfId="0" applyNumberFormat="1" applyFont="1" applyFill="1" applyBorder="1"/>
    <x:xf numFmtId="0" fontId="2" fillId="4" borderId="3" xfId="0" applyNumberFormat="1" applyFont="1" applyFill="1" applyBorder="1"/>
    <x:xf numFmtId="0" fontId="2" fillId="4" borderId="18" xfId="0" applyNumberFormat="1" applyFont="1" applyFill="1" applyBorder="1"/>
    <x:xf numFmtId="0" fontId="2" fillId="4" borderId="17" xfId="0" applyNumberFormat="1" applyFont="1" applyFill="1" applyBorder="1" applyAlignment="1">
      <x:alignment horizontal="center"/>
    </x:xf>
    <x:xf numFmtId="0" fontId="2" fillId="4" borderId="3" xfId="0" applyNumberFormat="1" applyFont="1" applyFill="1" applyBorder="1" applyAlignment="1">
      <x:alignment horizontal="center"/>
    </x:xf>
    <x:xf numFmtId="0" fontId="2" fillId="4" borderId="18" xfId="0" applyNumberFormat="1" applyFont="1" applyFill="1" applyBorder="1" applyAlignment="1">
      <x:alignment horizontal="center"/>
    </x:xf>
    <x:xf numFmtId="0" fontId="0" fillId="5" borderId="5" xfId="0" applyNumberFormat="1" applyFont="1" applyFill="1" applyBorder="1"/>
    <x:xf numFmtId="200" fontId="0" fillId="5" borderId="5" xfId="0" applyNumberFormat="1" applyFont="1" applyFill="1" applyBorder="1"/>
    <x:xf numFmtId="201" fontId="0" fillId="5" borderId="5" xfId="0" applyNumberFormat="1" applyFont="1" applyFill="1" applyBorder="1"/>
    <x:xf numFmtId="0" fontId="4" fillId="3" borderId="0" xfId="0" applyNumberFormat="1" applyFont="1" applyFill="1" applyBorder="1"/>
    <x:xf numFmtId="0" fontId="0" fillId="7" borderId="0" xfId="0" applyNumberFormat="1" applyFont="1" applyFill="1" applyBorder="1"/>
    <x:xf numFmtId="0" fontId="2" fillId="7" borderId="0" xfId="0" applyNumberFormat="1" applyFont="1" applyFill="1" applyBorder="1"/>
    <x:xf numFmtId="200" fontId="2" fillId="7" borderId="0" xfId="0" applyNumberFormat="1" applyFont="1" applyFill="1" applyBorder="1"/>
    <x:xf numFmtId="200" fontId="2" fillId="7" borderId="0" xfId="0" applyNumberFormat="1" applyFont="1" applyFill="1" applyBorder="1" applyAlignment="1">
      <x:alignment horizontal="center"/>
    </x:xf>
    <x:xf numFmtId="0" fontId="4" fillId="3" borderId="1" xfId="0" applyNumberFormat="1" applyFont="1" applyFill="1" applyBorder="1"/>
    <x:xf numFmtId="200" fontId="2" fillId="7" borderId="1" xfId="0" applyNumberFormat="1" applyFont="1" applyFill="1" applyBorder="1" applyAlignment="1">
      <x:alignment horizontal="center"/>
    </x:xf>
    <x:xf numFmtId="0" fontId="3" fillId="8" borderId="7" xfId="0" applyNumberFormat="1" applyFont="1" applyFill="1" applyBorder="1" applyAlignment="1">
      <x:alignment horizontal="center"/>
    </x:xf>
    <x:xf numFmtId="0" fontId="3" fillId="8" borderId="0" xfId="0" applyNumberFormat="1" applyFont="1" applyFill="1" applyBorder="1" applyAlignment="1">
      <x:alignment horizontal="center"/>
    </x:xf>
    <x:xf numFmtId="0" fontId="3" fillId="8" borderId="8" xfId="0" applyNumberFormat="1" applyFont="1" applyFill="1" applyBorder="1" applyAlignment="1">
      <x:alignment horizontal="center"/>
    </x:xf>
    <x:xf numFmtId="0" fontId="5" fillId="8" borderId="7" xfId="0" applyNumberFormat="1" applyFont="1" applyFill="1" applyBorder="1" applyAlignment="1">
      <x:alignment horizontal="center"/>
    </x:xf>
    <x:xf numFmtId="0" fontId="5" fillId="8" borderId="0" xfId="0" applyNumberFormat="1" applyFont="1" applyFill="1" applyBorder="1" applyAlignment="1">
      <x:alignment horizontal="center"/>
    </x:xf>
    <x:xf numFmtId="0" fontId="5" fillId="8" borderId="8" xfId="0" applyNumberFormat="1" applyFont="1" applyFill="1" applyBorder="1" applyAlignment="1">
      <x:alignment horizontal="center"/>
    </x:xf>
    <x:xf numFmtId="0" fontId="5" fillId="8" borderId="19" xfId="0" applyNumberFormat="1" applyFont="1" applyFill="1" applyBorder="1" applyAlignment="1">
      <x:alignment horizontal="center"/>
    </x:xf>
    <x:xf numFmtId="0" fontId="5" fillId="8" borderId="20" xfId="0" applyNumberFormat="1" applyFont="1" applyFill="1" applyBorder="1" applyAlignment="1">
      <x:alignment horizontal="center"/>
    </x:xf>
    <x:xf numFmtId="0" fontId="5" fillId="8" borderId="21" xfId="0" applyNumberFormat="1" applyFont="1" applyFill="1" applyBorder="1" applyAlignment="1">
      <x:alignment horizontal="center"/>
    </x:xf>
    <x:xf numFmtId="0" fontId="5" fillId="8" borderId="19" xfId="0" applyNumberFormat="1" applyFont="1" applyFill="1" applyBorder="1" applyAlignment="1">
      <x:alignment horizontal="center" wrapText="1"/>
    </x:xf>
    <x:xf numFmtId="0" fontId="5" fillId="8" borderId="20" xfId="0" applyNumberFormat="1" applyFont="1" applyFill="1" applyBorder="1" applyAlignment="1">
      <x:alignment horizontal="center" wrapText="1"/>
    </x:xf>
    <x:xf numFmtId="0" fontId="5" fillId="8" borderId="21" xfId="0" applyNumberFormat="1" applyFont="1" applyFill="1" applyBorder="1" applyAlignment="1">
      <x:alignment horizontal="center" wrapText="1"/>
    </x:xf>
    <x:xf numFmtId="0" fontId="5" fillId="8" borderId="19" xfId="0" applyNumberFormat="1" applyFont="1" applyFill="1" applyBorder="1" applyAlignment="1">
      <x:alignment horizontal="center" vertical="center" wrapText="1"/>
    </x:xf>
    <x:xf numFmtId="0" fontId="5" fillId="8" borderId="20" xfId="0" applyNumberFormat="1" applyFont="1" applyFill="1" applyBorder="1" applyAlignment="1">
      <x:alignment horizontal="center" vertical="center" wrapText="1"/>
    </x:xf>
    <x:xf numFmtId="0" fontId="5" fillId="8" borderId="21" xfId="0" applyNumberFormat="1" applyFont="1" applyFill="1" applyBorder="1" applyAlignment="1">
      <x:alignment horizontal="center" vertical="center" wrapText="1"/>
    </x:xf>
    <x:xf numFmtId="0" fontId="0" fillId="9" borderId="11" xfId="0" applyNumberFormat="1" applyFont="1" applyFill="1" applyBorder="1"/>
    <x:xf numFmtId="0" fontId="0" fillId="9" borderId="12" xfId="0" applyNumberFormat="1" applyFont="1" applyFill="1" applyBorder="1"/>
    <x:xf numFmtId="0" fontId="0" fillId="9" borderId="13" xfId="0" applyNumberFormat="1" applyFont="1" applyFill="1" applyBorder="1"/>
    <x:xf numFmtId="0" fontId="0" fillId="9" borderId="14" xfId="0" applyNumberFormat="1" applyFont="1" applyFill="1" applyBorder="1"/>
    <x:xf numFmtId="0" fontId="0" fillId="9" borderId="15" xfId="0" applyNumberFormat="1" applyFont="1" applyFill="1" applyBorder="1"/>
    <x:xf numFmtId="0" fontId="0" fillId="9" borderId="16" xfId="0" applyNumberFormat="1" applyFont="1" applyFill="1" applyBorder="1"/>
    <x:xf numFmtId="200" fontId="0" fillId="9" borderId="12" xfId="0" applyNumberFormat="1" applyFont="1" applyFill="1" applyBorder="1"/>
    <x:xf numFmtId="200" fontId="0" fillId="9" borderId="14" xfId="0" applyNumberFormat="1" applyFont="1" applyFill="1" applyBorder="1"/>
    <x:xf numFmtId="201" fontId="0" fillId="9" borderId="12" xfId="0" applyNumberFormat="1" applyFont="1" applyFill="1" applyBorder="1"/>
    <x:xf numFmtId="201" fontId="0" fillId="9" borderId="14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3c0956d107c4a41" /><Relationship Type="http://schemas.openxmlformats.org/officeDocument/2006/relationships/theme" Target="/xl/theme/theme1.xml" Id="R093396b0e3cd4a1c" /><Relationship Type="http://schemas.openxmlformats.org/officeDocument/2006/relationships/sharedStrings" Target="/xl/sharedStrings.xml" Id="Rdfd6d622b0884e84" /><Relationship Type="http://schemas.openxmlformats.org/officeDocument/2006/relationships/worksheet" Target="/xl/worksheets/sheet1.xml" Id="R60c42eb6bb8240ed" /><Relationship Type="http://schemas.openxmlformats.org/officeDocument/2006/relationships/worksheet" Target="/xl/worksheets/sheet2.xml" Id="R8e617004f0504a6f" /><Relationship Type="http://schemas.openxmlformats.org/officeDocument/2006/relationships/worksheet" Target="/xl/worksheets/sheet3.xml" Id="Rec4257d1adeb4ebb" /><Relationship Type="http://schemas.openxmlformats.org/officeDocument/2006/relationships/worksheet" Target="/xl/worksheets/sheet4.xml" Id="Rc2690c44358c4afe" /><Relationship Type="http://schemas.openxmlformats.org/officeDocument/2006/relationships/worksheet" Target="/xl/worksheets/sheet5.xml" Id="R0cfd099f7c4a4a4b" /><Relationship Type="http://schemas.openxmlformats.org/officeDocument/2006/relationships/worksheet" Target="/xl/worksheets/sheet6.xml" Id="Rf9b76d10923d4eaf" /></Relationships>
</file>

<file path=xl/tables/table1.xml><?xml version="1.0" encoding="utf-8"?>
<x:table xmlns:x="http://schemas.openxmlformats.org/spreadsheetml/2006/main" id="1" name="MovieDatabase" displayName="MovieDatabase" ref="A4:L34" headerRowCount="1" totalsRowCount="0" totalsRowShown="0">
  <x:tableColumns count="12">
    <x:tableColumn id="1" name="记录ID"/>
    <x:tableColumn id="2" name="中文名"/>
    <x:tableColumn id="3" name="英文/原名"/>
    <x:tableColumn id="4" name="导演"/>
    <x:tableColumn id="5" name="上映年份"/>
    <x:tableColumn id="6" name="国家/地区"/>
    <x:tableColumn id="7" name="地区分类"/>
    <x:tableColumn id="8" name="类型"/>
    <x:tableColumn id="9" name="观影日期"/>
    <x:tableColumn id="10" name="个人评分"/>
    <x:tableColumn id="11" name="私人短评"/>
    <x:tableColumn id="12" name="信息来源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1.xml" Id="Rc12486c679a4459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0" hidden="0" customWidth="1"/>
    <x:col min="3" max="3" width="9" hidden="0" customWidth="1"/>
    <x:col min="4" max="4" width="14" hidden="0" customWidth="1"/>
    <x:col min="5" max="5" width="30" hidden="0" customWidth="1"/>
    <x:col min="6" max="6" width="20" hidden="0" customWidth="1"/>
    <x:col min="7" max="7" width="9" hidden="0" customWidth="1"/>
    <x:col min="8" max="8" width="14" hidden="0" customWidth="1"/>
    <x:col min="9" max="9" width="30" hidden="0" customWidth="1"/>
    <x:col min="10" max="10" width="20" hidden="0" customWidth="1"/>
    <x:col min="11" max="11" width="9" hidden="0" customWidth="1"/>
    <x:col min="12" max="12" width="14" hidden="0" customWidth="1"/>
  </x:cols>
  <x:sheetData>
    <x:row r="1" ht="34" customHeight="1">
      <x:c r="A1" s="3" t="str">
        <x:v>我的电影 · 地区概览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3" customHeight="1">
      <x:c r="A2" s="13" t="str">
        <x:v>固定高度概览：显示各地区数量与最近记录，不因某一地区电影过多而无限向下延伸。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</x:row>
    <x:row r="4" ht="27" customHeight="1">
      <x:c r="A4" s="29" t="str">
        <x:v>中国大陆</x:v>
      </x:c>
      <x:c r="B4" s="30"/>
      <x:c r="C4" s="30"/>
      <x:c r="D4" s="31"/>
      <x:c r="E4" s="29" t="str">
        <x:v>香港</x:v>
      </x:c>
      <x:c r="F4" s="30"/>
      <x:c r="G4" s="30"/>
      <x:c r="H4" s="31"/>
      <x:c r="I4" s="29" t="str">
        <x:v>台湾</x:v>
      </x:c>
      <x:c r="J4" s="30"/>
      <x:c r="K4" s="30"/>
      <x:c r="L4" s="31"/>
    </x:row>
    <x:row r="5" ht="27" customHeight="1">
      <x:c r="A5" s="32" t="str">
        <x:f>COUNTIF('电影数据库'!$G$5:$G$504,"中国大陆")&amp;" 部"</x:f>
        <x:v>0 部</x:v>
      </x:c>
      <x:c r="B5" s="26"/>
      <x:c r="C5" s="26"/>
      <x:c r="D5" s="33"/>
      <x:c r="E5" s="32" t="str">
        <x:f>COUNTIF('电影数据库'!$G$5:$G$504,"香港")&amp;" 部"</x:f>
        <x:v>0 部</x:v>
      </x:c>
      <x:c r="F5" s="26"/>
      <x:c r="G5" s="26"/>
      <x:c r="H5" s="33"/>
      <x:c r="I5" s="32" t="str">
        <x:f>COUNTIF('电影数据库'!$G$5:$G$504,"台湾")&amp;" 部"</x:f>
        <x:v>0 部</x:v>
      </x:c>
      <x:c r="J5" s="26"/>
      <x:c r="K5" s="26"/>
      <x:c r="L5" s="33"/>
    </x:row>
    <x:row r="6" ht="28" customHeight="1">
      <x:c r="A6" s="82" t="str">
        <x:v>片名（中文 / English）</x:v>
      </x:c>
      <x:c r="B6" s="83" t="str">
        <x:v>导演</x:v>
      </x:c>
      <x:c r="C6" s="83" t="str">
        <x:v>年份</x:v>
      </x:c>
      <x:c r="D6" s="84" t="str">
        <x:v>观影日期</x:v>
      </x:c>
      <x:c r="E6" s="82" t="str">
        <x:v>片名（中文 / English）</x:v>
      </x:c>
      <x:c r="F6" s="83" t="str">
        <x:v>导演</x:v>
      </x:c>
      <x:c r="G6" s="83" t="str">
        <x:v>年份</x:v>
      </x:c>
      <x:c r="H6" s="84" t="str">
        <x:v>观影日期</x:v>
      </x:c>
      <x:c r="I6" s="82" t="str">
        <x:v>片名（中文 / English）</x:v>
      </x:c>
      <x:c r="J6" s="83" t="str">
        <x:v>导演</x:v>
      </x:c>
      <x:c r="K6" s="83" t="str">
        <x:v>年份</x:v>
      </x:c>
      <x:c r="L6" s="84" t="str">
        <x:v>观影日期</x:v>
      </x:c>
    </x:row>
    <x:row r="7" ht="23" customHeight="1">
      <x:c r="A7" s="85"/>
      <x:c r="B7" s="86"/>
      <x:c r="C7" s="91"/>
      <x:c r="D7" s="93"/>
      <x:c r="E7" s="85"/>
      <x:c r="F7" s="86"/>
      <x:c r="G7" s="91"/>
      <x:c r="H7" s="93"/>
      <x:c r="I7" s="85"/>
      <x:c r="J7" s="86"/>
      <x:c r="K7" s="91"/>
      <x:c r="L7" s="93"/>
    </x:row>
    <x:row r="8" ht="23" customHeight="1">
      <x:c r="A8" s="87"/>
      <x:c r="B8" s="88"/>
      <x:c r="C8" s="92"/>
      <x:c r="D8" s="94"/>
      <x:c r="E8" s="87"/>
      <x:c r="F8" s="88"/>
      <x:c r="G8" s="92"/>
      <x:c r="H8" s="94"/>
      <x:c r="I8" s="87"/>
      <x:c r="J8" s="88"/>
      <x:c r="K8" s="92"/>
      <x:c r="L8" s="94"/>
    </x:row>
    <x:row r="9" ht="23" customHeight="1">
      <x:c r="A9" s="87"/>
      <x:c r="B9" s="88"/>
      <x:c r="C9" s="92"/>
      <x:c r="D9" s="94"/>
      <x:c r="E9" s="87"/>
      <x:c r="F9" s="88"/>
      <x:c r="G9" s="92"/>
      <x:c r="H9" s="94"/>
      <x:c r="I9" s="87"/>
      <x:c r="J9" s="88"/>
      <x:c r="K9" s="92"/>
      <x:c r="L9" s="94"/>
    </x:row>
    <x:row r="10" ht="23" customHeight="1">
      <x:c r="A10" s="87"/>
      <x:c r="B10" s="88"/>
      <x:c r="C10" s="92"/>
      <x:c r="D10" s="94"/>
      <x:c r="E10" s="87"/>
      <x:c r="F10" s="88"/>
      <x:c r="G10" s="92"/>
      <x:c r="H10" s="94"/>
      <x:c r="I10" s="87"/>
      <x:c r="J10" s="88"/>
      <x:c r="K10" s="92"/>
      <x:c r="L10" s="94"/>
    </x:row>
    <x:row r="11" ht="23" customHeight="1">
      <x:c r="A11" s="87"/>
      <x:c r="B11" s="88"/>
      <x:c r="C11" s="92"/>
      <x:c r="D11" s="94"/>
      <x:c r="E11" s="87"/>
      <x:c r="F11" s="88"/>
      <x:c r="G11" s="92"/>
      <x:c r="H11" s="94"/>
      <x:c r="I11" s="87"/>
      <x:c r="J11" s="88"/>
      <x:c r="K11" s="92"/>
      <x:c r="L11" s="94"/>
    </x:row>
    <x:row r="13" ht="27" customHeight="1">
      <x:c r="A13" s="29" t="str">
        <x:v>美国</x:v>
      </x:c>
      <x:c r="B13" s="30"/>
      <x:c r="C13" s="30"/>
      <x:c r="D13" s="31"/>
      <x:c r="E13" s="29" t="str">
        <x:v>欧洲/大洋洲</x:v>
      </x:c>
      <x:c r="F13" s="30"/>
      <x:c r="G13" s="30"/>
      <x:c r="H13" s="31"/>
      <x:c r="I13" s="29" t="str">
        <x:v>其他地区</x:v>
      </x:c>
      <x:c r="J13" s="30"/>
      <x:c r="K13" s="30"/>
      <x:c r="L13" s="31"/>
    </x:row>
    <x:row r="14" ht="27" customHeight="1">
      <x:c r="A14" s="32" t="str">
        <x:f>COUNTIF('电影数据库'!$G$5:$G$504,"美国")&amp;" 部"</x:f>
        <x:v>0 部</x:v>
      </x:c>
      <x:c r="B14" s="26"/>
      <x:c r="C14" s="26"/>
      <x:c r="D14" s="33"/>
      <x:c r="E14" s="32" t="str">
        <x:f>COUNTIF('电影数据库'!$G$5:$G$504,"欧洲/大洋洲")&amp;" 部"</x:f>
        <x:v>0 部</x:v>
      </x:c>
      <x:c r="F14" s="26"/>
      <x:c r="G14" s="26"/>
      <x:c r="H14" s="33"/>
      <x:c r="I14" s="32" t="str">
        <x:f>COUNTIF('电影数据库'!$G$5:$G$504,"其他地区")&amp;" 部"</x:f>
        <x:v>0 部</x:v>
      </x:c>
      <x:c r="J14" s="26"/>
      <x:c r="K14" s="26"/>
      <x:c r="L14" s="33"/>
    </x:row>
    <x:row r="15" ht="28" customHeight="1">
      <x:c r="A15" s="82" t="str">
        <x:v>片名（中文 / English）</x:v>
      </x:c>
      <x:c r="B15" s="83" t="str">
        <x:v>导演</x:v>
      </x:c>
      <x:c r="C15" s="83" t="str">
        <x:v>年份</x:v>
      </x:c>
      <x:c r="D15" s="84" t="str">
        <x:v>观影日期</x:v>
      </x:c>
      <x:c r="E15" s="82" t="str">
        <x:v>片名（中文 / English）</x:v>
      </x:c>
      <x:c r="F15" s="83" t="str">
        <x:v>导演</x:v>
      </x:c>
      <x:c r="G15" s="83" t="str">
        <x:v>年份</x:v>
      </x:c>
      <x:c r="H15" s="84" t="str">
        <x:v>观影日期</x:v>
      </x:c>
      <x:c r="I15" s="82" t="str">
        <x:v>片名（中文 / English）</x:v>
      </x:c>
      <x:c r="J15" s="83" t="str">
        <x:v>导演</x:v>
      </x:c>
      <x:c r="K15" s="83" t="str">
        <x:v>年份</x:v>
      </x:c>
      <x:c r="L15" s="84" t="str">
        <x:v>观影日期</x:v>
      </x:c>
    </x:row>
    <x:row r="16" ht="23" customHeight="1">
      <x:c r="A16" s="85"/>
      <x:c r="B16" s="86"/>
      <x:c r="C16" s="91"/>
      <x:c r="D16" s="93"/>
      <x:c r="E16" s="85"/>
      <x:c r="F16" s="86"/>
      <x:c r="G16" s="91"/>
      <x:c r="H16" s="93"/>
      <x:c r="I16" s="85"/>
      <x:c r="J16" s="86"/>
      <x:c r="K16" s="91"/>
      <x:c r="L16" s="93"/>
    </x:row>
    <x:row r="17" ht="23" customHeight="1">
      <x:c r="A17" s="87"/>
      <x:c r="B17" s="88"/>
      <x:c r="C17" s="92"/>
      <x:c r="D17" s="94"/>
      <x:c r="E17" s="87"/>
      <x:c r="F17" s="88"/>
      <x:c r="G17" s="92"/>
      <x:c r="H17" s="94"/>
      <x:c r="I17" s="87"/>
      <x:c r="J17" s="88"/>
      <x:c r="K17" s="92"/>
      <x:c r="L17" s="94"/>
    </x:row>
    <x:row r="18" ht="23" customHeight="1">
      <x:c r="A18" s="87"/>
      <x:c r="B18" s="88"/>
      <x:c r="C18" s="92"/>
      <x:c r="D18" s="94"/>
      <x:c r="E18" s="87"/>
      <x:c r="F18" s="88"/>
      <x:c r="G18" s="92"/>
      <x:c r="H18" s="94"/>
      <x:c r="I18" s="87"/>
      <x:c r="J18" s="88"/>
      <x:c r="K18" s="92"/>
      <x:c r="L18" s="94"/>
    </x:row>
    <x:row r="19" ht="23" customHeight="1">
      <x:c r="A19" s="87"/>
      <x:c r="B19" s="88"/>
      <x:c r="C19" s="92"/>
      <x:c r="D19" s="94"/>
      <x:c r="E19" s="87"/>
      <x:c r="F19" s="88"/>
      <x:c r="G19" s="92"/>
      <x:c r="H19" s="94"/>
      <x:c r="I19" s="87"/>
      <x:c r="J19" s="88"/>
      <x:c r="K19" s="92"/>
      <x:c r="L19" s="94"/>
    </x:row>
    <x:row r="20" ht="23" customHeight="1">
      <x:c r="A20" s="87"/>
      <x:c r="B20" s="88"/>
      <x:c r="C20" s="92"/>
      <x:c r="D20" s="94"/>
      <x:c r="E20" s="87"/>
      <x:c r="F20" s="88"/>
      <x:c r="G20" s="92"/>
      <x:c r="H20" s="94"/>
      <x:c r="I20" s="87"/>
      <x:c r="J20" s="88"/>
      <x:c r="K20" s="92"/>
      <x:c r="L20" s="94"/>
    </x:row>
  </x:sheetData>
  <x:mergeCells>
    <x:mergeCell ref="A1:L1"/>
    <x:mergeCell ref="A2:L2"/>
    <x:mergeCell ref="A4:D4"/>
    <x:mergeCell ref="A5:D5"/>
    <x:mergeCell ref="E4:H4"/>
    <x:mergeCell ref="E5:H5"/>
    <x:mergeCell ref="I4:L4"/>
    <x:mergeCell ref="I5:L5"/>
    <x:mergeCell ref="A13:D13"/>
    <x:mergeCell ref="A14:D14"/>
    <x:mergeCell ref="E13:H13"/>
    <x:mergeCell ref="E14:H14"/>
    <x:mergeCell ref="I13:L13"/>
    <x:mergeCell ref="I14:L1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5" max="5" width="26" hidden="0" customWidth="1"/>
    <x:col min="9" max="9" width="26" hidden="0" customWidth="1"/>
    <x:col min="13" max="13" width="26" hidden="0" customWidth="1"/>
    <x:col min="17" max="17" width="26" hidden="0" customWidth="1"/>
    <x:col min="22" max="22" width="26" hidden="0" customWidth="1"/>
    <x:col min="2" max="2" width="20" hidden="0" customWidth="1"/>
    <x:col min="6" max="6" width="20" hidden="0" customWidth="1"/>
    <x:col min="10" max="10" width="20" hidden="0" customWidth="1"/>
    <x:col min="14" max="14" width="20" hidden="0" customWidth="1"/>
    <x:col min="18" max="18" width="20" hidden="0" customWidth="1"/>
    <x:col min="23" max="23" width="20" hidden="0" customWidth="1"/>
    <x:col min="3" max="3" width="10" hidden="0" customWidth="1"/>
    <x:col min="7" max="7" width="10" hidden="0" customWidth="1"/>
    <x:col min="11" max="11" width="10" hidden="0" customWidth="1"/>
    <x:col min="15" max="15" width="10" hidden="0" customWidth="1"/>
    <x:col min="19" max="19" width="10" hidden="0" customWidth="1"/>
    <x:col min="24" max="24" width="10" hidden="0" customWidth="1"/>
    <x:col min="4" max="4" width="14" hidden="0" customWidth="1"/>
    <x:col min="8" max="8" width="14" hidden="0" customWidth="1"/>
    <x:col min="12" max="12" width="14" hidden="0" customWidth="1"/>
    <x:col min="16" max="16" width="14" hidden="0" customWidth="1"/>
    <x:col min="20" max="20" width="14" hidden="0" customWidth="1"/>
    <x:col min="25" max="25" width="14" hidden="0" customWidth="1"/>
    <x:col min="21" max="21" width="16" hidden="0" customWidth="1"/>
    <x:col min="26" max="26" width="16" hidden="0" customWidth="1"/>
  </x:cols>
  <x:sheetData>
    <x:row r="1" ht="34" customHeight="1">
      <x:c r="A1" s="3" t="str">
        <x:v>我的电影 · 地区横向模式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</x:row>
    <x:row r="2" ht="23" customHeight="1">
      <x:c r="A2" s="13" t="str">
        <x:v>此页由插件根据“电影数据库”和“设置”重新生成。私人评分与短评始终保存在本地。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  <x:c r="O2" s="13"/>
      <x:c r="P2" s="13"/>
      <x:c r="Q2" s="13"/>
      <x:c r="R2" s="13"/>
      <x:c r="S2" s="13"/>
      <x:c r="T2" s="13"/>
      <x:c r="U2" s="13"/>
      <x:c r="V2" s="13"/>
      <x:c r="W2" s="13"/>
      <x:c r="X2" s="13"/>
      <x:c r="Y2" s="13"/>
      <x:c r="Z2" s="13"/>
    </x:row>
    <x:row r="4" ht="25" customHeight="1">
      <x:c r="A4" s="57" t="str">
        <x:v>中国大陆 · Mainland China</x:v>
      </x:c>
      <x:c r="B4" s="58"/>
      <x:c r="C4" s="58"/>
      <x:c r="D4" s="59"/>
      <x:c r="E4" s="57" t="str">
        <x:v>香港 · Hong Kong</x:v>
      </x:c>
      <x:c r="F4" s="58"/>
      <x:c r="G4" s="58"/>
      <x:c r="H4" s="59"/>
      <x:c r="I4" s="57" t="str">
        <x:v>台湾 · Taiwan</x:v>
      </x:c>
      <x:c r="J4" s="58"/>
      <x:c r="K4" s="58"/>
      <x:c r="L4" s="59"/>
      <x:c r="M4" s="57" t="str">
        <x:v>美国 · United States</x:v>
      </x:c>
      <x:c r="N4" s="58"/>
      <x:c r="O4" s="58"/>
      <x:c r="P4" s="59"/>
      <x:c r="Q4" s="57" t="str">
        <x:v>欧洲/大洋洲 · Europe/Oceania</x:v>
      </x:c>
      <x:c r="R4" s="58"/>
      <x:c r="S4" s="58"/>
      <x:c r="T4" s="58"/>
      <x:c r="U4" s="59"/>
      <x:c r="V4" s="57" t="str">
        <x:v>其他地区 · Other Regions</x:v>
      </x:c>
      <x:c r="W4" s="58"/>
      <x:c r="X4" s="58"/>
      <x:c r="Y4" s="58"/>
      <x:c r="Z4" s="59"/>
    </x:row>
    <x:row r="5" ht="24" customHeight="1">
      <x:c r="A5" s="4" t="str">
        <x:v>名称</x:v>
      </x:c>
      <x:c r="B5" s="4" t="str">
        <x:v>导演</x:v>
      </x:c>
      <x:c r="C5" s="4" t="str">
        <x:v>年份</x:v>
      </x:c>
      <x:c r="D5" s="4" t="str">
        <x:v>观影日期</x:v>
      </x:c>
      <x:c r="E5" s="4" t="str">
        <x:v>名称</x:v>
      </x:c>
      <x:c r="F5" s="4" t="str">
        <x:v>导演</x:v>
      </x:c>
      <x:c r="G5" s="4" t="str">
        <x:v>年份</x:v>
      </x:c>
      <x:c r="H5" s="4" t="str">
        <x:v>观影日期</x:v>
      </x:c>
      <x:c r="I5" s="4" t="str">
        <x:v>名称</x:v>
      </x:c>
      <x:c r="J5" s="4" t="str">
        <x:v>导演</x:v>
      </x:c>
      <x:c r="K5" s="4" t="str">
        <x:v>年份</x:v>
      </x:c>
      <x:c r="L5" s="4" t="str">
        <x:v>观影日期</x:v>
      </x:c>
      <x:c r="M5" s="4" t="str">
        <x:v>名称</x:v>
      </x:c>
      <x:c r="N5" s="4" t="str">
        <x:v>导演</x:v>
      </x:c>
      <x:c r="O5" s="4" t="str">
        <x:v>年份</x:v>
      </x:c>
      <x:c r="P5" s="4" t="str">
        <x:v>观影日期</x:v>
      </x:c>
      <x:c r="Q5" s="4" t="str">
        <x:v>名称</x:v>
      </x:c>
      <x:c r="R5" s="4" t="str">
        <x:v>导演</x:v>
      </x:c>
      <x:c r="S5" s="4" t="str">
        <x:v>年份</x:v>
      </x:c>
      <x:c r="T5" s="4" t="str">
        <x:v>观影日期</x:v>
      </x:c>
      <x:c r="U5" s="4" t="str">
        <x:v>国家</x:v>
      </x:c>
      <x:c r="V5" s="4" t="str">
        <x:v>名称</x:v>
      </x:c>
      <x:c r="W5" s="4" t="str">
        <x:v>导演</x:v>
      </x:c>
      <x:c r="X5" s="4" t="str">
        <x:v>年份</x:v>
      </x:c>
      <x:c r="Y5" s="4" t="str">
        <x:v>观影日期</x:v>
      </x:c>
      <x:c r="Z5" s="4" t="str">
        <x:v>国家</x:v>
      </x:c>
    </x:row>
    <x:row r="6" ht="21" customHeight="1">
      <x:c r="A6" s="49"/>
      <x:c r="B6" s="49"/>
      <x:c r="C6" s="49"/>
      <x:c r="D6" s="49"/>
      <x:c r="E6" s="49"/>
      <x:c r="F6" s="49"/>
      <x:c r="G6" s="49"/>
      <x:c r="H6" s="49"/>
      <x:c r="I6" s="49"/>
      <x:c r="J6" s="49"/>
      <x:c r="K6" s="49"/>
      <x:c r="L6" s="49"/>
      <x:c r="M6" s="49"/>
      <x:c r="N6" s="49"/>
      <x:c r="O6" s="49"/>
      <x:c r="P6" s="49"/>
      <x:c r="Q6" s="49"/>
      <x:c r="R6" s="49"/>
      <x:c r="S6" s="49"/>
      <x:c r="T6" s="49"/>
      <x:c r="U6" s="49"/>
      <x:c r="V6" s="49"/>
      <x:c r="W6" s="49"/>
      <x:c r="X6" s="49"/>
      <x:c r="Y6" s="49"/>
      <x:c r="Z6" s="49"/>
    </x:row>
    <x:row r="7" ht="21" customHeight="1">
      <x:c r="A7" s="51"/>
      <x:c r="B7" s="51"/>
      <x:c r="C7" s="51"/>
      <x:c r="D7" s="51"/>
      <x:c r="E7" s="51"/>
      <x:c r="F7" s="51"/>
      <x:c r="G7" s="51"/>
      <x:c r="H7" s="51"/>
      <x:c r="I7" s="51"/>
      <x:c r="J7" s="51"/>
      <x:c r="K7" s="51"/>
      <x:c r="L7" s="51"/>
      <x:c r="M7" s="51"/>
      <x:c r="N7" s="51"/>
      <x:c r="O7" s="51"/>
      <x:c r="P7" s="51"/>
      <x:c r="Q7" s="51"/>
      <x:c r="R7" s="51"/>
      <x:c r="S7" s="51"/>
      <x:c r="T7" s="51"/>
      <x:c r="U7" s="51"/>
      <x:c r="V7" s="51"/>
      <x:c r="W7" s="51"/>
      <x:c r="X7" s="51"/>
      <x:c r="Y7" s="51"/>
      <x:c r="Z7" s="51"/>
    </x:row>
    <x:row r="8" ht="21" customHeight="1">
      <x:c r="A8" s="51"/>
      <x:c r="B8" s="51"/>
      <x:c r="C8" s="51"/>
      <x:c r="D8" s="51"/>
      <x:c r="E8" s="51"/>
      <x:c r="F8" s="51"/>
      <x:c r="G8" s="51"/>
      <x:c r="H8" s="51"/>
      <x:c r="I8" s="51"/>
      <x:c r="J8" s="51"/>
      <x:c r="K8" s="51"/>
      <x:c r="L8" s="51"/>
      <x:c r="M8" s="51"/>
      <x:c r="N8" s="51"/>
      <x:c r="O8" s="51"/>
      <x:c r="P8" s="51"/>
      <x:c r="Q8" s="51"/>
      <x:c r="R8" s="51"/>
      <x:c r="S8" s="51"/>
      <x:c r="T8" s="51"/>
      <x:c r="U8" s="51"/>
      <x:c r="V8" s="51"/>
      <x:c r="W8" s="51"/>
      <x:c r="X8" s="51"/>
      <x:c r="Y8" s="51"/>
      <x:c r="Z8" s="51"/>
    </x:row>
    <x:row r="9" ht="21" customHeight="1">
      <x:c r="A9" s="51"/>
      <x:c r="B9" s="51"/>
      <x:c r="C9" s="51"/>
      <x:c r="D9" s="51"/>
      <x:c r="E9" s="51"/>
      <x:c r="F9" s="51"/>
      <x:c r="G9" s="51"/>
      <x:c r="H9" s="51"/>
      <x:c r="I9" s="51"/>
      <x:c r="J9" s="51"/>
      <x:c r="K9" s="51"/>
      <x:c r="L9" s="51"/>
      <x:c r="M9" s="51"/>
      <x:c r="N9" s="51"/>
      <x:c r="O9" s="51"/>
      <x:c r="P9" s="51"/>
      <x:c r="Q9" s="51"/>
      <x:c r="R9" s="51"/>
      <x:c r="S9" s="51"/>
      <x:c r="T9" s="51"/>
      <x:c r="U9" s="51"/>
      <x:c r="V9" s="51"/>
      <x:c r="W9" s="51"/>
      <x:c r="X9" s="51"/>
      <x:c r="Y9" s="51"/>
      <x:c r="Z9" s="51"/>
    </x:row>
    <x:row r="10" ht="21" customHeight="1">
      <x:c r="A10" s="51"/>
      <x:c r="B10" s="51"/>
      <x:c r="C10" s="51"/>
      <x:c r="D10" s="51"/>
      <x:c r="E10" s="51"/>
      <x:c r="F10" s="51"/>
      <x:c r="G10" s="51"/>
      <x:c r="H10" s="51"/>
      <x:c r="I10" s="51"/>
      <x:c r="J10" s="51"/>
      <x:c r="K10" s="51"/>
      <x:c r="L10" s="51"/>
      <x:c r="M10" s="51"/>
      <x:c r="N10" s="51"/>
      <x:c r="O10" s="51"/>
      <x:c r="P10" s="51"/>
      <x:c r="Q10" s="51"/>
      <x:c r="R10" s="51"/>
      <x:c r="S10" s="51"/>
      <x:c r="T10" s="51"/>
      <x:c r="U10" s="51"/>
      <x:c r="V10" s="51"/>
      <x:c r="W10" s="51"/>
      <x:c r="X10" s="51"/>
      <x:c r="Y10" s="51"/>
      <x:c r="Z10" s="51"/>
    </x:row>
    <x:row r="11" ht="21" customHeight="1">
      <x:c r="A11" s="51"/>
      <x:c r="B11" s="51"/>
      <x:c r="C11" s="51"/>
      <x:c r="D11" s="51"/>
      <x:c r="E11" s="51"/>
      <x:c r="F11" s="51"/>
      <x:c r="G11" s="51"/>
      <x:c r="H11" s="51"/>
      <x:c r="I11" s="51"/>
      <x:c r="J11" s="51"/>
      <x:c r="K11" s="51"/>
      <x:c r="L11" s="51"/>
      <x:c r="M11" s="51"/>
      <x:c r="N11" s="51"/>
      <x:c r="O11" s="51"/>
      <x:c r="P11" s="51"/>
      <x:c r="Q11" s="51"/>
      <x:c r="R11" s="51"/>
      <x:c r="S11" s="51"/>
      <x:c r="T11" s="51"/>
      <x:c r="U11" s="51"/>
      <x:c r="V11" s="51"/>
      <x:c r="W11" s="51"/>
      <x:c r="X11" s="51"/>
      <x:c r="Y11" s="51"/>
      <x:c r="Z11" s="51"/>
    </x:row>
    <x:row r="12" ht="21" customHeight="1">
      <x:c r="A12" s="51"/>
      <x:c r="B12" s="51"/>
      <x:c r="C12" s="51"/>
      <x:c r="D12" s="51"/>
      <x:c r="E12" s="51"/>
      <x:c r="F12" s="51"/>
      <x:c r="G12" s="51"/>
      <x:c r="H12" s="51"/>
      <x:c r="I12" s="51"/>
      <x:c r="J12" s="51"/>
      <x:c r="K12" s="51"/>
      <x:c r="L12" s="51"/>
      <x:c r="M12" s="51"/>
      <x:c r="N12" s="51"/>
      <x:c r="O12" s="51"/>
      <x:c r="P12" s="51"/>
      <x:c r="Q12" s="51"/>
      <x:c r="R12" s="51"/>
      <x:c r="S12" s="51"/>
      <x:c r="T12" s="51"/>
      <x:c r="U12" s="51"/>
      <x:c r="V12" s="51"/>
      <x:c r="W12" s="51"/>
      <x:c r="X12" s="51"/>
      <x:c r="Y12" s="51"/>
      <x:c r="Z12" s="51"/>
    </x:row>
    <x:row r="13" ht="21" customHeight="1">
      <x:c r="A13" s="51"/>
      <x:c r="B13" s="51"/>
      <x:c r="C13" s="51"/>
      <x:c r="D13" s="51"/>
      <x:c r="E13" s="51"/>
      <x:c r="F13" s="51"/>
      <x:c r="G13" s="51"/>
      <x:c r="H13" s="51"/>
      <x:c r="I13" s="51"/>
      <x:c r="J13" s="51"/>
      <x:c r="K13" s="51"/>
      <x:c r="L13" s="51"/>
      <x:c r="M13" s="51"/>
      <x:c r="N13" s="51"/>
      <x:c r="O13" s="51"/>
      <x:c r="P13" s="51"/>
      <x:c r="Q13" s="51"/>
      <x:c r="R13" s="51"/>
      <x:c r="S13" s="51"/>
      <x:c r="T13" s="51"/>
      <x:c r="U13" s="51"/>
      <x:c r="V13" s="51"/>
      <x:c r="W13" s="51"/>
      <x:c r="X13" s="51"/>
      <x:c r="Y13" s="51"/>
      <x:c r="Z13" s="51"/>
    </x:row>
    <x:row r="14" ht="21" customHeight="1">
      <x:c r="A14" s="51"/>
      <x:c r="B14" s="51"/>
      <x:c r="C14" s="51"/>
      <x:c r="D14" s="51"/>
      <x:c r="E14" s="51"/>
      <x:c r="F14" s="51"/>
      <x:c r="G14" s="51"/>
      <x:c r="H14" s="51"/>
      <x:c r="I14" s="51"/>
      <x:c r="J14" s="51"/>
      <x:c r="K14" s="51"/>
      <x:c r="L14" s="51"/>
      <x:c r="M14" s="51"/>
      <x:c r="N14" s="51"/>
      <x:c r="O14" s="51"/>
      <x:c r="P14" s="51"/>
      <x:c r="Q14" s="51"/>
      <x:c r="R14" s="51"/>
      <x:c r="S14" s="51"/>
      <x:c r="T14" s="51"/>
      <x:c r="U14" s="51"/>
      <x:c r="V14" s="51"/>
      <x:c r="W14" s="51"/>
      <x:c r="X14" s="51"/>
      <x:c r="Y14" s="51"/>
      <x:c r="Z14" s="51"/>
    </x:row>
    <x:row r="15" ht="21" customHeight="1">
      <x:c r="A15" s="51"/>
      <x:c r="B15" s="51"/>
      <x:c r="C15" s="51"/>
      <x:c r="D15" s="51"/>
      <x:c r="E15" s="51"/>
      <x:c r="F15" s="51"/>
      <x:c r="G15" s="51"/>
      <x:c r="H15" s="51"/>
      <x:c r="I15" s="51"/>
      <x:c r="J15" s="51"/>
      <x:c r="K15" s="51"/>
      <x:c r="L15" s="51"/>
      <x:c r="M15" s="51"/>
      <x:c r="N15" s="51"/>
      <x:c r="O15" s="51"/>
      <x:c r="P15" s="51"/>
      <x:c r="Q15" s="51"/>
      <x:c r="R15" s="51"/>
      <x:c r="S15" s="51"/>
      <x:c r="T15" s="51"/>
      <x:c r="U15" s="51"/>
      <x:c r="V15" s="51"/>
      <x:c r="W15" s="51"/>
      <x:c r="X15" s="51"/>
      <x:c r="Y15" s="51"/>
      <x:c r="Z15" s="51"/>
    </x:row>
    <x:row r="16" ht="21" customHeight="1">
      <x:c r="A16" s="51"/>
      <x:c r="B16" s="51"/>
      <x:c r="C16" s="51"/>
      <x:c r="D16" s="51"/>
      <x:c r="E16" s="51"/>
      <x:c r="F16" s="51"/>
      <x:c r="G16" s="51"/>
      <x:c r="H16" s="51"/>
      <x:c r="I16" s="51"/>
      <x:c r="J16" s="51"/>
      <x:c r="K16" s="51"/>
      <x:c r="L16" s="51"/>
      <x:c r="M16" s="51"/>
      <x:c r="N16" s="51"/>
      <x:c r="O16" s="51"/>
      <x:c r="P16" s="51"/>
      <x:c r="Q16" s="51"/>
      <x:c r="R16" s="51"/>
      <x:c r="S16" s="51"/>
      <x:c r="T16" s="51"/>
      <x:c r="U16" s="51"/>
      <x:c r="V16" s="51"/>
      <x:c r="W16" s="51"/>
      <x:c r="X16" s="51"/>
      <x:c r="Y16" s="51"/>
      <x:c r="Z16" s="51"/>
    </x:row>
    <x:row r="17" ht="21" customHeight="1">
      <x:c r="A17" s="51"/>
      <x:c r="B17" s="51"/>
      <x:c r="C17" s="51"/>
      <x:c r="D17" s="51"/>
      <x:c r="E17" s="51"/>
      <x:c r="F17" s="51"/>
      <x:c r="G17" s="51"/>
      <x:c r="H17" s="51"/>
      <x:c r="I17" s="51"/>
      <x:c r="J17" s="51"/>
      <x:c r="K17" s="51"/>
      <x:c r="L17" s="51"/>
      <x:c r="M17" s="51"/>
      <x:c r="N17" s="51"/>
      <x:c r="O17" s="51"/>
      <x:c r="P17" s="51"/>
      <x:c r="Q17" s="51"/>
      <x:c r="R17" s="51"/>
      <x:c r="S17" s="51"/>
      <x:c r="T17" s="51"/>
      <x:c r="U17" s="51"/>
      <x:c r="V17" s="51"/>
      <x:c r="W17" s="51"/>
      <x:c r="X17" s="51"/>
      <x:c r="Y17" s="51"/>
      <x:c r="Z17" s="51"/>
    </x:row>
    <x:row r="18" ht="21" customHeight="1">
      <x:c r="A18" s="51"/>
      <x:c r="B18" s="51"/>
      <x:c r="C18" s="51"/>
      <x:c r="D18" s="51"/>
      <x:c r="E18" s="51"/>
      <x:c r="F18" s="51"/>
      <x:c r="G18" s="51"/>
      <x:c r="H18" s="51"/>
      <x:c r="I18" s="51"/>
      <x:c r="J18" s="51"/>
      <x:c r="K18" s="51"/>
      <x:c r="L18" s="51"/>
      <x:c r="M18" s="51"/>
      <x:c r="N18" s="51"/>
      <x:c r="O18" s="51"/>
      <x:c r="P18" s="51"/>
      <x:c r="Q18" s="51"/>
      <x:c r="R18" s="51"/>
      <x:c r="S18" s="51"/>
      <x:c r="T18" s="51"/>
      <x:c r="U18" s="51"/>
      <x:c r="V18" s="51"/>
      <x:c r="W18" s="51"/>
      <x:c r="X18" s="51"/>
      <x:c r="Y18" s="51"/>
      <x:c r="Z18" s="51"/>
    </x:row>
    <x:row r="19" ht="21" customHeight="1">
      <x:c r="A19" s="51"/>
      <x:c r="B19" s="51"/>
      <x:c r="C19" s="51"/>
      <x:c r="D19" s="51"/>
      <x:c r="E19" s="51"/>
      <x:c r="F19" s="51"/>
      <x:c r="G19" s="51"/>
      <x:c r="H19" s="51"/>
      <x:c r="I19" s="51"/>
      <x:c r="J19" s="51"/>
      <x:c r="K19" s="51"/>
      <x:c r="L19" s="51"/>
      <x:c r="M19" s="51"/>
      <x:c r="N19" s="51"/>
      <x:c r="O19" s="51"/>
      <x:c r="P19" s="51"/>
      <x:c r="Q19" s="51"/>
      <x:c r="R19" s="51"/>
      <x:c r="S19" s="51"/>
      <x:c r="T19" s="51"/>
      <x:c r="U19" s="51"/>
      <x:c r="V19" s="51"/>
      <x:c r="W19" s="51"/>
      <x:c r="X19" s="51"/>
      <x:c r="Y19" s="51"/>
      <x:c r="Z19" s="51"/>
    </x:row>
    <x:row r="20" ht="21" customHeight="1">
      <x:c r="A20" s="51"/>
      <x:c r="B20" s="51"/>
      <x:c r="C20" s="51"/>
      <x:c r="D20" s="51"/>
      <x:c r="E20" s="51"/>
      <x:c r="F20" s="51"/>
      <x:c r="G20" s="51"/>
      <x:c r="H20" s="51"/>
      <x:c r="I20" s="51"/>
      <x:c r="J20" s="51"/>
      <x:c r="K20" s="51"/>
      <x:c r="L20" s="51"/>
      <x:c r="M20" s="51"/>
      <x:c r="N20" s="51"/>
      <x:c r="O20" s="51"/>
      <x:c r="P20" s="51"/>
      <x:c r="Q20" s="51"/>
      <x:c r="R20" s="51"/>
      <x:c r="S20" s="51"/>
      <x:c r="T20" s="51"/>
      <x:c r="U20" s="51"/>
      <x:c r="V20" s="51"/>
      <x:c r="W20" s="51"/>
      <x:c r="X20" s="51"/>
      <x:c r="Y20" s="51"/>
      <x:c r="Z20" s="51"/>
    </x:row>
    <x:row r="21" ht="21" customHeight="1">
      <x:c r="A21" s="51"/>
      <x:c r="B21" s="51"/>
      <x:c r="C21" s="51"/>
      <x:c r="D21" s="51"/>
      <x:c r="E21" s="51"/>
      <x:c r="F21" s="51"/>
      <x:c r="G21" s="51"/>
      <x:c r="H21" s="51"/>
      <x:c r="I21" s="51"/>
      <x:c r="J21" s="51"/>
      <x:c r="K21" s="51"/>
      <x:c r="L21" s="51"/>
      <x:c r="M21" s="51"/>
      <x:c r="N21" s="51"/>
      <x:c r="O21" s="51"/>
      <x:c r="P21" s="51"/>
      <x:c r="Q21" s="51"/>
      <x:c r="R21" s="51"/>
      <x:c r="S21" s="51"/>
      <x:c r="T21" s="51"/>
      <x:c r="U21" s="51"/>
      <x:c r="V21" s="51"/>
      <x:c r="W21" s="51"/>
      <x:c r="X21" s="51"/>
      <x:c r="Y21" s="51"/>
      <x:c r="Z21" s="51"/>
    </x:row>
    <x:row r="22" ht="21" customHeight="1">
      <x:c r="A22" s="51"/>
      <x:c r="B22" s="51"/>
      <x:c r="C22" s="51"/>
      <x:c r="D22" s="51"/>
      <x:c r="E22" s="51"/>
      <x:c r="F22" s="51"/>
      <x:c r="G22" s="51"/>
      <x:c r="H22" s="51"/>
      <x:c r="I22" s="51"/>
      <x:c r="J22" s="51"/>
      <x:c r="K22" s="51"/>
      <x:c r="L22" s="51"/>
      <x:c r="M22" s="51"/>
      <x:c r="N22" s="51"/>
      <x:c r="O22" s="51"/>
      <x:c r="P22" s="51"/>
      <x:c r="Q22" s="51"/>
      <x:c r="R22" s="51"/>
      <x:c r="S22" s="51"/>
      <x:c r="T22" s="51"/>
      <x:c r="U22" s="51"/>
      <x:c r="V22" s="51"/>
      <x:c r="W22" s="51"/>
      <x:c r="X22" s="51"/>
      <x:c r="Y22" s="51"/>
      <x:c r="Z22" s="51"/>
    </x:row>
    <x:row r="23" ht="21" customHeight="1">
      <x:c r="A23" s="51"/>
      <x:c r="B23" s="51"/>
      <x:c r="C23" s="51"/>
      <x:c r="D23" s="51"/>
      <x:c r="E23" s="51"/>
      <x:c r="F23" s="51"/>
      <x:c r="G23" s="51"/>
      <x:c r="H23" s="51"/>
      <x:c r="I23" s="51"/>
      <x:c r="J23" s="51"/>
      <x:c r="K23" s="51"/>
      <x:c r="L23" s="51"/>
      <x:c r="M23" s="51"/>
      <x:c r="N23" s="51"/>
      <x:c r="O23" s="51"/>
      <x:c r="P23" s="51"/>
      <x:c r="Q23" s="51"/>
      <x:c r="R23" s="51"/>
      <x:c r="S23" s="51"/>
      <x:c r="T23" s="51"/>
      <x:c r="U23" s="51"/>
      <x:c r="V23" s="51"/>
      <x:c r="W23" s="51"/>
      <x:c r="X23" s="51"/>
      <x:c r="Y23" s="51"/>
      <x:c r="Z23" s="51"/>
    </x:row>
    <x:row r="24" ht="21" customHeight="1">
      <x:c r="A24" s="51"/>
      <x:c r="B24" s="51"/>
      <x:c r="C24" s="51"/>
      <x:c r="D24" s="51"/>
      <x:c r="E24" s="51"/>
      <x:c r="F24" s="51"/>
      <x:c r="G24" s="51"/>
      <x:c r="H24" s="51"/>
      <x:c r="I24" s="51"/>
      <x:c r="J24" s="51"/>
      <x:c r="K24" s="51"/>
      <x:c r="L24" s="51"/>
      <x:c r="M24" s="51"/>
      <x:c r="N24" s="51"/>
      <x:c r="O24" s="51"/>
      <x:c r="P24" s="51"/>
      <x:c r="Q24" s="51"/>
      <x:c r="R24" s="51"/>
      <x:c r="S24" s="51"/>
      <x:c r="T24" s="51"/>
      <x:c r="U24" s="51"/>
      <x:c r="V24" s="51"/>
      <x:c r="W24" s="51"/>
      <x:c r="X24" s="51"/>
      <x:c r="Y24" s="51"/>
      <x:c r="Z24" s="51"/>
    </x:row>
    <x:row r="25" ht="21" customHeight="1">
      <x:c r="A25" s="53"/>
      <x:c r="B25" s="53"/>
      <x:c r="C25" s="53"/>
      <x:c r="D25" s="53"/>
      <x:c r="E25" s="53"/>
      <x:c r="F25" s="53"/>
      <x:c r="G25" s="53"/>
      <x:c r="H25" s="53"/>
      <x:c r="I25" s="53"/>
      <x:c r="J25" s="53"/>
      <x:c r="K25" s="53"/>
      <x:c r="L25" s="53"/>
      <x:c r="M25" s="53"/>
      <x:c r="N25" s="53"/>
      <x:c r="O25" s="53"/>
      <x:c r="P25" s="53"/>
      <x:c r="Q25" s="53"/>
      <x:c r="R25" s="53"/>
      <x:c r="S25" s="53"/>
      <x:c r="T25" s="53"/>
      <x:c r="U25" s="53"/>
      <x:c r="V25" s="53"/>
      <x:c r="W25" s="53"/>
      <x:c r="X25" s="53"/>
      <x:c r="Y25" s="53"/>
      <x:c r="Z25" s="53"/>
    </x:row>
  </x:sheetData>
  <x:mergeCells>
    <x:mergeCell ref="A1:Z1"/>
    <x:mergeCell ref="A2:Z2"/>
    <x:mergeCell ref="A4:D4"/>
    <x:mergeCell ref="E4:H4"/>
    <x:mergeCell ref="I4:L4"/>
    <x:mergeCell ref="M4:P4"/>
    <x:mergeCell ref="Q4:U4"/>
    <x:mergeCell ref="V4:Z4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5" hidden="0" customWidth="1"/>
    <x:col min="3" max="3" width="22" hidden="0" customWidth="1"/>
    <x:col min="4" max="4" width="10" hidden="0" customWidth="1"/>
    <x:col min="5" max="5" width="18" hidden="0" customWidth="1"/>
    <x:col min="6" max="6" width="16" hidden="0" customWidth="1"/>
    <x:col min="7" max="7" width="22" hidden="0" customWidth="1"/>
    <x:col min="8" max="8" width="14" hidden="0" customWidth="1"/>
    <x:col min="9" max="9" width="10" hidden="0" customWidth="1"/>
    <x:col min="10" max="10" width="36" hidden="0" customWidth="1"/>
    <x:col min="11" max="11" width="40" hidden="0" customWidth="1"/>
  </x:cols>
  <x:sheetData>
    <x:row r="1" ht="34" customHeight="1">
      <x:c r="A1" s="3" t="str">
        <x:v>标准清单 · 可筛选的完整视图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23" customHeight="1">
      <x:c r="A2" s="13" t="str">
        <x:v>此页引用“电影数据库”，适合筛选、搜索和按年份排序。请勿在此页直接维护源数据。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 ht="26" customHeight="1">
      <x:c r="A4" s="4" t="str">
        <x:v>中文名</x:v>
      </x:c>
      <x:c r="B4" s="4" t="str">
        <x:v>英文/原名</x:v>
      </x:c>
      <x:c r="C4" s="4" t="str">
        <x:v>导演</x:v>
      </x:c>
      <x:c r="D4" s="4" t="str">
        <x:v>年份</x:v>
      </x:c>
      <x:c r="E4" s="4" t="str">
        <x:v>国家/地区</x:v>
      </x:c>
      <x:c r="F4" s="4" t="str">
        <x:v>地区分类</x:v>
      </x:c>
      <x:c r="G4" s="4" t="str">
        <x:v>类型</x:v>
      </x:c>
      <x:c r="H4" s="4" t="str">
        <x:v>观影日期</x:v>
      </x:c>
      <x:c r="I4" s="4" t="str">
        <x:v>评分</x:v>
      </x:c>
      <x:c r="J4" s="4" t="str">
        <x:v>私人短评</x:v>
      </x:c>
      <x:c r="K4" s="4" t="str">
        <x:v>信息来源</x:v>
      </x:c>
    </x:row>
    <x:row r="5" ht="22" customHeight="1">
      <x:c r="A5" s="17" t="str">
        <x:f>IF('电影数据库'!B5="","",'电影数据库'!B5)</x:f>
      </x:c>
      <x:c r="B5" s="17" t="str">
        <x:f>IF('电影数据库'!C5="","",'电影数据库'!C5)</x:f>
      </x:c>
      <x:c r="C5" s="17" t="str">
        <x:f>IF('电影数据库'!D5="","",'电影数据库'!D5)</x:f>
      </x:c>
      <x:c r="D5" s="19" t="str">
        <x:f>IF('电影数据库'!E5="","",'电影数据库'!E5)</x:f>
      </x:c>
      <x:c r="E5" s="17" t="str">
        <x:f>IF('电影数据库'!F5="","",'电影数据库'!F5)</x:f>
      </x:c>
      <x:c r="F5" s="17" t="str">
        <x:f>IF('电影数据库'!G5="","",'电影数据库'!G5)</x:f>
      </x:c>
      <x:c r="G5" s="17" t="str">
        <x:f>IF('电影数据库'!H5="","",'电影数据库'!H5)</x:f>
      </x:c>
      <x:c r="H5" s="22" t="str">
        <x:f>IF('电影数据库'!I5="","",'电影数据库'!I5)</x:f>
      </x:c>
      <x:c r="I5" s="17" t="str">
        <x:f>IF('电影数据库'!J5="","",'电影数据库'!J5)</x:f>
      </x:c>
      <x:c r="J5" s="17" t="str">
        <x:f>IF('电影数据库'!K5="","",'电影数据库'!K5)</x:f>
      </x:c>
      <x:c r="K5" s="17" t="str">
        <x:f>IF('电影数据库'!L5="","",'电影数据库'!L5)</x:f>
      </x:c>
    </x:row>
    <x:row r="6" ht="22" customHeight="1">
      <x:c r="A6" s="18" t="str">
        <x:f>IF('电影数据库'!B6="","",'电影数据库'!B6)</x:f>
      </x:c>
      <x:c r="B6" s="18" t="str">
        <x:f>IF('电影数据库'!C6="","",'电影数据库'!C6)</x:f>
      </x:c>
      <x:c r="C6" s="18" t="str">
        <x:f>IF('电影数据库'!D6="","",'电影数据库'!D6)</x:f>
      </x:c>
      <x:c r="D6" s="20" t="str">
        <x:f>IF('电影数据库'!E6="","",'电影数据库'!E6)</x:f>
      </x:c>
      <x:c r="E6" s="18" t="str">
        <x:f>IF('电影数据库'!F6="","",'电影数据库'!F6)</x:f>
      </x:c>
      <x:c r="F6" s="18" t="str">
        <x:f>IF('电影数据库'!G6="","",'电影数据库'!G6)</x:f>
      </x:c>
      <x:c r="G6" s="18" t="str">
        <x:f>IF('电影数据库'!H6="","",'电影数据库'!H6)</x:f>
      </x:c>
      <x:c r="H6" s="23" t="str">
        <x:f>IF('电影数据库'!I6="","",'电影数据库'!I6)</x:f>
      </x:c>
      <x:c r="I6" s="18" t="str">
        <x:f>IF('电影数据库'!J6="","",'电影数据库'!J6)</x:f>
      </x:c>
      <x:c r="J6" s="18" t="str">
        <x:f>IF('电影数据库'!K6="","",'电影数据库'!K6)</x:f>
      </x:c>
      <x:c r="K6" s="18" t="str">
        <x:f>IF('电影数据库'!L6="","",'电影数据库'!L6)</x:f>
      </x:c>
    </x:row>
    <x:row r="7" ht="22" customHeight="1">
      <x:c r="A7" s="18" t="str">
        <x:f>IF('电影数据库'!B7="","",'电影数据库'!B7)</x:f>
      </x:c>
      <x:c r="B7" s="18" t="str">
        <x:f>IF('电影数据库'!C7="","",'电影数据库'!C7)</x:f>
      </x:c>
      <x:c r="C7" s="18" t="str">
        <x:f>IF('电影数据库'!D7="","",'电影数据库'!D7)</x:f>
      </x:c>
      <x:c r="D7" s="20" t="str">
        <x:f>IF('电影数据库'!E7="","",'电影数据库'!E7)</x:f>
      </x:c>
      <x:c r="E7" s="18" t="str">
        <x:f>IF('电影数据库'!F7="","",'电影数据库'!F7)</x:f>
      </x:c>
      <x:c r="F7" s="18" t="str">
        <x:f>IF('电影数据库'!G7="","",'电影数据库'!G7)</x:f>
      </x:c>
      <x:c r="G7" s="18" t="str">
        <x:f>IF('电影数据库'!H7="","",'电影数据库'!H7)</x:f>
      </x:c>
      <x:c r="H7" s="23" t="str">
        <x:f>IF('电影数据库'!I7="","",'电影数据库'!I7)</x:f>
      </x:c>
      <x:c r="I7" s="18" t="str">
        <x:f>IF('电影数据库'!J7="","",'电影数据库'!J7)</x:f>
      </x:c>
      <x:c r="J7" s="18" t="str">
        <x:f>IF('电影数据库'!K7="","",'电影数据库'!K7)</x:f>
      </x:c>
      <x:c r="K7" s="18" t="str">
        <x:f>IF('电影数据库'!L7="","",'电影数据库'!L7)</x:f>
      </x:c>
    </x:row>
    <x:row r="8" ht="22" customHeight="1">
      <x:c r="A8" s="18" t="str">
        <x:f>IF('电影数据库'!B8="","",'电影数据库'!B8)</x:f>
      </x:c>
      <x:c r="B8" s="18" t="str">
        <x:f>IF('电影数据库'!C8="","",'电影数据库'!C8)</x:f>
      </x:c>
      <x:c r="C8" s="18" t="str">
        <x:f>IF('电影数据库'!D8="","",'电影数据库'!D8)</x:f>
      </x:c>
      <x:c r="D8" s="20" t="str">
        <x:f>IF('电影数据库'!E8="","",'电影数据库'!E8)</x:f>
      </x:c>
      <x:c r="E8" s="18" t="str">
        <x:f>IF('电影数据库'!F8="","",'电影数据库'!F8)</x:f>
      </x:c>
      <x:c r="F8" s="18" t="str">
        <x:f>IF('电影数据库'!G8="","",'电影数据库'!G8)</x:f>
      </x:c>
      <x:c r="G8" s="18" t="str">
        <x:f>IF('电影数据库'!H8="","",'电影数据库'!H8)</x:f>
      </x:c>
      <x:c r="H8" s="23" t="str">
        <x:f>IF('电影数据库'!I8="","",'电影数据库'!I8)</x:f>
      </x:c>
      <x:c r="I8" s="18" t="str">
        <x:f>IF('电影数据库'!J8="","",'电影数据库'!J8)</x:f>
      </x:c>
      <x:c r="J8" s="18" t="str">
        <x:f>IF('电影数据库'!K8="","",'电影数据库'!K8)</x:f>
      </x:c>
      <x:c r="K8" s="18" t="str">
        <x:f>IF('电影数据库'!L8="","",'电影数据库'!L8)</x:f>
      </x:c>
    </x:row>
    <x:row r="9" ht="22" customHeight="1">
      <x:c r="A9" s="18" t="str">
        <x:f>IF('电影数据库'!B9="","",'电影数据库'!B9)</x:f>
      </x:c>
      <x:c r="B9" s="18" t="str">
        <x:f>IF('电影数据库'!C9="","",'电影数据库'!C9)</x:f>
      </x:c>
      <x:c r="C9" s="18" t="str">
        <x:f>IF('电影数据库'!D9="","",'电影数据库'!D9)</x:f>
      </x:c>
      <x:c r="D9" s="20" t="str">
        <x:f>IF('电影数据库'!E9="","",'电影数据库'!E9)</x:f>
      </x:c>
      <x:c r="E9" s="18" t="str">
        <x:f>IF('电影数据库'!F9="","",'电影数据库'!F9)</x:f>
      </x:c>
      <x:c r="F9" s="18" t="str">
        <x:f>IF('电影数据库'!G9="","",'电影数据库'!G9)</x:f>
      </x:c>
      <x:c r="G9" s="18" t="str">
        <x:f>IF('电影数据库'!H9="","",'电影数据库'!H9)</x:f>
      </x:c>
      <x:c r="H9" s="23" t="str">
        <x:f>IF('电影数据库'!I9="","",'电影数据库'!I9)</x:f>
      </x:c>
      <x:c r="I9" s="18" t="str">
        <x:f>IF('电影数据库'!J9="","",'电影数据库'!J9)</x:f>
      </x:c>
      <x:c r="J9" s="18" t="str">
        <x:f>IF('电影数据库'!K9="","",'电影数据库'!K9)</x:f>
      </x:c>
      <x:c r="K9" s="18" t="str">
        <x:f>IF('电影数据库'!L9="","",'电影数据库'!L9)</x:f>
      </x:c>
    </x:row>
    <x:row r="10" ht="22" customHeight="1">
      <x:c r="A10" s="18" t="str">
        <x:f>IF('电影数据库'!B10="","",'电影数据库'!B10)</x:f>
      </x:c>
      <x:c r="B10" s="18" t="str">
        <x:f>IF('电影数据库'!C10="","",'电影数据库'!C10)</x:f>
      </x:c>
      <x:c r="C10" s="18" t="str">
        <x:f>IF('电影数据库'!D10="","",'电影数据库'!D10)</x:f>
      </x:c>
      <x:c r="D10" s="20" t="str">
        <x:f>IF('电影数据库'!E10="","",'电影数据库'!E10)</x:f>
      </x:c>
      <x:c r="E10" s="18" t="str">
        <x:f>IF('电影数据库'!F10="","",'电影数据库'!F10)</x:f>
      </x:c>
      <x:c r="F10" s="18" t="str">
        <x:f>IF('电影数据库'!G10="","",'电影数据库'!G10)</x:f>
      </x:c>
      <x:c r="G10" s="18" t="str">
        <x:f>IF('电影数据库'!H10="","",'电影数据库'!H10)</x:f>
      </x:c>
      <x:c r="H10" s="23" t="str">
        <x:f>IF('电影数据库'!I10="","",'电影数据库'!I10)</x:f>
      </x:c>
      <x:c r="I10" s="18" t="str">
        <x:f>IF('电影数据库'!J10="","",'电影数据库'!J10)</x:f>
      </x:c>
      <x:c r="J10" s="18" t="str">
        <x:f>IF('电影数据库'!K10="","",'电影数据库'!K10)</x:f>
      </x:c>
      <x:c r="K10" s="18" t="str">
        <x:f>IF('电影数据库'!L10="","",'电影数据库'!L10)</x:f>
      </x:c>
    </x:row>
    <x:row r="11" ht="22" customHeight="1">
      <x:c r="A11" s="18" t="str">
        <x:f>IF('电影数据库'!B11="","",'电影数据库'!B11)</x:f>
      </x:c>
      <x:c r="B11" s="18" t="str">
        <x:f>IF('电影数据库'!C11="","",'电影数据库'!C11)</x:f>
      </x:c>
      <x:c r="C11" s="18" t="str">
        <x:f>IF('电影数据库'!D11="","",'电影数据库'!D11)</x:f>
      </x:c>
      <x:c r="D11" s="20" t="str">
        <x:f>IF('电影数据库'!E11="","",'电影数据库'!E11)</x:f>
      </x:c>
      <x:c r="E11" s="18" t="str">
        <x:f>IF('电影数据库'!F11="","",'电影数据库'!F11)</x:f>
      </x:c>
      <x:c r="F11" s="18" t="str">
        <x:f>IF('电影数据库'!G11="","",'电影数据库'!G11)</x:f>
      </x:c>
      <x:c r="G11" s="18" t="str">
        <x:f>IF('电影数据库'!H11="","",'电影数据库'!H11)</x:f>
      </x:c>
      <x:c r="H11" s="23" t="str">
        <x:f>IF('电影数据库'!I11="","",'电影数据库'!I11)</x:f>
      </x:c>
      <x:c r="I11" s="18" t="str">
        <x:f>IF('电影数据库'!J11="","",'电影数据库'!J11)</x:f>
      </x:c>
      <x:c r="J11" s="18" t="str">
        <x:f>IF('电影数据库'!K11="","",'电影数据库'!K11)</x:f>
      </x:c>
      <x:c r="K11" s="18" t="str">
        <x:f>IF('电影数据库'!L11="","",'电影数据库'!L11)</x:f>
      </x:c>
    </x:row>
    <x:row r="12" ht="22" customHeight="1">
      <x:c r="A12" s="18" t="str">
        <x:f>IF('电影数据库'!B12="","",'电影数据库'!B12)</x:f>
      </x:c>
      <x:c r="B12" s="18" t="str">
        <x:f>IF('电影数据库'!C12="","",'电影数据库'!C12)</x:f>
      </x:c>
      <x:c r="C12" s="18" t="str">
        <x:f>IF('电影数据库'!D12="","",'电影数据库'!D12)</x:f>
      </x:c>
      <x:c r="D12" s="20" t="str">
        <x:f>IF('电影数据库'!E12="","",'电影数据库'!E12)</x:f>
      </x:c>
      <x:c r="E12" s="18" t="str">
        <x:f>IF('电影数据库'!F12="","",'电影数据库'!F12)</x:f>
      </x:c>
      <x:c r="F12" s="18" t="str">
        <x:f>IF('电影数据库'!G12="","",'电影数据库'!G12)</x:f>
      </x:c>
      <x:c r="G12" s="18" t="str">
        <x:f>IF('电影数据库'!H12="","",'电影数据库'!H12)</x:f>
      </x:c>
      <x:c r="H12" s="23" t="str">
        <x:f>IF('电影数据库'!I12="","",'电影数据库'!I12)</x:f>
      </x:c>
      <x:c r="I12" s="18" t="str">
        <x:f>IF('电影数据库'!J12="","",'电影数据库'!J12)</x:f>
      </x:c>
      <x:c r="J12" s="18" t="str">
        <x:f>IF('电影数据库'!K12="","",'电影数据库'!K12)</x:f>
      </x:c>
      <x:c r="K12" s="18" t="str">
        <x:f>IF('电影数据库'!L12="","",'电影数据库'!L12)</x:f>
      </x:c>
    </x:row>
    <x:row r="13" ht="22" customHeight="1">
      <x:c r="A13" s="18" t="str">
        <x:f>IF('电影数据库'!B13="","",'电影数据库'!B13)</x:f>
      </x:c>
      <x:c r="B13" s="18" t="str">
        <x:f>IF('电影数据库'!C13="","",'电影数据库'!C13)</x:f>
      </x:c>
      <x:c r="C13" s="18" t="str">
        <x:f>IF('电影数据库'!D13="","",'电影数据库'!D13)</x:f>
      </x:c>
      <x:c r="D13" s="20" t="str">
        <x:f>IF('电影数据库'!E13="","",'电影数据库'!E13)</x:f>
      </x:c>
      <x:c r="E13" s="18" t="str">
        <x:f>IF('电影数据库'!F13="","",'电影数据库'!F13)</x:f>
      </x:c>
      <x:c r="F13" s="18" t="str">
        <x:f>IF('电影数据库'!G13="","",'电影数据库'!G13)</x:f>
      </x:c>
      <x:c r="G13" s="18" t="str">
        <x:f>IF('电影数据库'!H13="","",'电影数据库'!H13)</x:f>
      </x:c>
      <x:c r="H13" s="23" t="str">
        <x:f>IF('电影数据库'!I13="","",'电影数据库'!I13)</x:f>
      </x:c>
      <x:c r="I13" s="18" t="str">
        <x:f>IF('电影数据库'!J13="","",'电影数据库'!J13)</x:f>
      </x:c>
      <x:c r="J13" s="18" t="str">
        <x:f>IF('电影数据库'!K13="","",'电影数据库'!K13)</x:f>
      </x:c>
      <x:c r="K13" s="18" t="str">
        <x:f>IF('电影数据库'!L13="","",'电影数据库'!L13)</x:f>
      </x:c>
    </x:row>
    <x:row r="14" ht="22" customHeight="1">
      <x:c r="A14" s="18" t="str">
        <x:f>IF('电影数据库'!B14="","",'电影数据库'!B14)</x:f>
      </x:c>
      <x:c r="B14" s="18" t="str">
        <x:f>IF('电影数据库'!C14="","",'电影数据库'!C14)</x:f>
      </x:c>
      <x:c r="C14" s="18" t="str">
        <x:f>IF('电影数据库'!D14="","",'电影数据库'!D14)</x:f>
      </x:c>
      <x:c r="D14" s="20" t="str">
        <x:f>IF('电影数据库'!E14="","",'电影数据库'!E14)</x:f>
      </x:c>
      <x:c r="E14" s="18" t="str">
        <x:f>IF('电影数据库'!F14="","",'电影数据库'!F14)</x:f>
      </x:c>
      <x:c r="F14" s="18" t="str">
        <x:f>IF('电影数据库'!G14="","",'电影数据库'!G14)</x:f>
      </x:c>
      <x:c r="G14" s="18" t="str">
        <x:f>IF('电影数据库'!H14="","",'电影数据库'!H14)</x:f>
      </x:c>
      <x:c r="H14" s="23" t="str">
        <x:f>IF('电影数据库'!I14="","",'电影数据库'!I14)</x:f>
      </x:c>
      <x:c r="I14" s="18" t="str">
        <x:f>IF('电影数据库'!J14="","",'电影数据库'!J14)</x:f>
      </x:c>
      <x:c r="J14" s="18" t="str">
        <x:f>IF('电影数据库'!K14="","",'电影数据库'!K14)</x:f>
      </x:c>
      <x:c r="K14" s="18" t="str">
        <x:f>IF('电影数据库'!L14="","",'电影数据库'!L14)</x:f>
      </x:c>
    </x:row>
    <x:row r="15" ht="22" customHeight="1">
      <x:c r="A15" s="18" t="str">
        <x:f>IF('电影数据库'!B15="","",'电影数据库'!B15)</x:f>
      </x:c>
      <x:c r="B15" s="18" t="str">
        <x:f>IF('电影数据库'!C15="","",'电影数据库'!C15)</x:f>
      </x:c>
      <x:c r="C15" s="18" t="str">
        <x:f>IF('电影数据库'!D15="","",'电影数据库'!D15)</x:f>
      </x:c>
      <x:c r="D15" s="20" t="str">
        <x:f>IF('电影数据库'!E15="","",'电影数据库'!E15)</x:f>
      </x:c>
      <x:c r="E15" s="18" t="str">
        <x:f>IF('电影数据库'!F15="","",'电影数据库'!F15)</x:f>
      </x:c>
      <x:c r="F15" s="18" t="str">
        <x:f>IF('电影数据库'!G15="","",'电影数据库'!G15)</x:f>
      </x:c>
      <x:c r="G15" s="18" t="str">
        <x:f>IF('电影数据库'!H15="","",'电影数据库'!H15)</x:f>
      </x:c>
      <x:c r="H15" s="23" t="str">
        <x:f>IF('电影数据库'!I15="","",'电影数据库'!I15)</x:f>
      </x:c>
      <x:c r="I15" s="18" t="str">
        <x:f>IF('电影数据库'!J15="","",'电影数据库'!J15)</x:f>
      </x:c>
      <x:c r="J15" s="18" t="str">
        <x:f>IF('电影数据库'!K15="","",'电影数据库'!K15)</x:f>
      </x:c>
      <x:c r="K15" s="18" t="str">
        <x:f>IF('电影数据库'!L15="","",'电影数据库'!L15)</x:f>
      </x:c>
    </x:row>
    <x:row r="16" ht="22" customHeight="1">
      <x:c r="A16" s="18" t="str">
        <x:f>IF('电影数据库'!B16="","",'电影数据库'!B16)</x:f>
      </x:c>
      <x:c r="B16" s="18" t="str">
        <x:f>IF('电影数据库'!C16="","",'电影数据库'!C16)</x:f>
      </x:c>
      <x:c r="C16" s="18" t="str">
        <x:f>IF('电影数据库'!D16="","",'电影数据库'!D16)</x:f>
      </x:c>
      <x:c r="D16" s="20" t="str">
        <x:f>IF('电影数据库'!E16="","",'电影数据库'!E16)</x:f>
      </x:c>
      <x:c r="E16" s="18" t="str">
        <x:f>IF('电影数据库'!F16="","",'电影数据库'!F16)</x:f>
      </x:c>
      <x:c r="F16" s="18" t="str">
        <x:f>IF('电影数据库'!G16="","",'电影数据库'!G16)</x:f>
      </x:c>
      <x:c r="G16" s="18" t="str">
        <x:f>IF('电影数据库'!H16="","",'电影数据库'!H16)</x:f>
      </x:c>
      <x:c r="H16" s="23" t="str">
        <x:f>IF('电影数据库'!I16="","",'电影数据库'!I16)</x:f>
      </x:c>
      <x:c r="I16" s="18" t="str">
        <x:f>IF('电影数据库'!J16="","",'电影数据库'!J16)</x:f>
      </x:c>
      <x:c r="J16" s="18" t="str">
        <x:f>IF('电影数据库'!K16="","",'电影数据库'!K16)</x:f>
      </x:c>
      <x:c r="K16" s="18" t="str">
        <x:f>IF('电影数据库'!L16="","",'电影数据库'!L16)</x:f>
      </x:c>
    </x:row>
    <x:row r="17" ht="22" customHeight="1">
      <x:c r="A17" s="18" t="str">
        <x:f>IF('电影数据库'!B17="","",'电影数据库'!B17)</x:f>
      </x:c>
      <x:c r="B17" s="18" t="str">
        <x:f>IF('电影数据库'!C17="","",'电影数据库'!C17)</x:f>
      </x:c>
      <x:c r="C17" s="18" t="str">
        <x:f>IF('电影数据库'!D17="","",'电影数据库'!D17)</x:f>
      </x:c>
      <x:c r="D17" s="20" t="str">
        <x:f>IF('电影数据库'!E17="","",'电影数据库'!E17)</x:f>
      </x:c>
      <x:c r="E17" s="18" t="str">
        <x:f>IF('电影数据库'!F17="","",'电影数据库'!F17)</x:f>
      </x:c>
      <x:c r="F17" s="18" t="str">
        <x:f>IF('电影数据库'!G17="","",'电影数据库'!G17)</x:f>
      </x:c>
      <x:c r="G17" s="18" t="str">
        <x:f>IF('电影数据库'!H17="","",'电影数据库'!H17)</x:f>
      </x:c>
      <x:c r="H17" s="23" t="str">
        <x:f>IF('电影数据库'!I17="","",'电影数据库'!I17)</x:f>
      </x:c>
      <x:c r="I17" s="18" t="str">
        <x:f>IF('电影数据库'!J17="","",'电影数据库'!J17)</x:f>
      </x:c>
      <x:c r="J17" s="18" t="str">
        <x:f>IF('电影数据库'!K17="","",'电影数据库'!K17)</x:f>
      </x:c>
      <x:c r="K17" s="18" t="str">
        <x:f>IF('电影数据库'!L17="","",'电影数据库'!L17)</x:f>
      </x:c>
    </x:row>
    <x:row r="18" ht="22" customHeight="1">
      <x:c r="A18" s="18" t="str">
        <x:f>IF('电影数据库'!B18="","",'电影数据库'!B18)</x:f>
      </x:c>
      <x:c r="B18" s="18" t="str">
        <x:f>IF('电影数据库'!C18="","",'电影数据库'!C18)</x:f>
      </x:c>
      <x:c r="C18" s="18" t="str">
        <x:f>IF('电影数据库'!D18="","",'电影数据库'!D18)</x:f>
      </x:c>
      <x:c r="D18" s="20" t="str">
        <x:f>IF('电影数据库'!E18="","",'电影数据库'!E18)</x:f>
      </x:c>
      <x:c r="E18" s="18" t="str">
        <x:f>IF('电影数据库'!F18="","",'电影数据库'!F18)</x:f>
      </x:c>
      <x:c r="F18" s="18" t="str">
        <x:f>IF('电影数据库'!G18="","",'电影数据库'!G18)</x:f>
      </x:c>
      <x:c r="G18" s="18" t="str">
        <x:f>IF('电影数据库'!H18="","",'电影数据库'!H18)</x:f>
      </x:c>
      <x:c r="H18" s="23" t="str">
        <x:f>IF('电影数据库'!I18="","",'电影数据库'!I18)</x:f>
      </x:c>
      <x:c r="I18" s="18" t="str">
        <x:f>IF('电影数据库'!J18="","",'电影数据库'!J18)</x:f>
      </x:c>
      <x:c r="J18" s="18" t="str">
        <x:f>IF('电影数据库'!K18="","",'电影数据库'!K18)</x:f>
      </x:c>
      <x:c r="K18" s="18" t="str">
        <x:f>IF('电影数据库'!L18="","",'电影数据库'!L18)</x:f>
      </x:c>
    </x:row>
    <x:row r="19" ht="22" customHeight="1">
      <x:c r="A19" s="18" t="str">
        <x:f>IF('电影数据库'!B19="","",'电影数据库'!B19)</x:f>
      </x:c>
      <x:c r="B19" s="18" t="str">
        <x:f>IF('电影数据库'!C19="","",'电影数据库'!C19)</x:f>
      </x:c>
      <x:c r="C19" s="18" t="str">
        <x:f>IF('电影数据库'!D19="","",'电影数据库'!D19)</x:f>
      </x:c>
      <x:c r="D19" s="20" t="str">
        <x:f>IF('电影数据库'!E19="","",'电影数据库'!E19)</x:f>
      </x:c>
      <x:c r="E19" s="18" t="str">
        <x:f>IF('电影数据库'!F19="","",'电影数据库'!F19)</x:f>
      </x:c>
      <x:c r="F19" s="18" t="str">
        <x:f>IF('电影数据库'!G19="","",'电影数据库'!G19)</x:f>
      </x:c>
      <x:c r="G19" s="18" t="str">
        <x:f>IF('电影数据库'!H19="","",'电影数据库'!H19)</x:f>
      </x:c>
      <x:c r="H19" s="23" t="str">
        <x:f>IF('电影数据库'!I19="","",'电影数据库'!I19)</x:f>
      </x:c>
      <x:c r="I19" s="18" t="str">
        <x:f>IF('电影数据库'!J19="","",'电影数据库'!J19)</x:f>
      </x:c>
      <x:c r="J19" s="18" t="str">
        <x:f>IF('电影数据库'!K19="","",'电影数据库'!K19)</x:f>
      </x:c>
      <x:c r="K19" s="18" t="str">
        <x:f>IF('电影数据库'!L19="","",'电影数据库'!L19)</x:f>
      </x:c>
    </x:row>
    <x:row r="20" ht="22" customHeight="1">
      <x:c r="A20" s="18" t="str">
        <x:f>IF('电影数据库'!B20="","",'电影数据库'!B20)</x:f>
      </x:c>
      <x:c r="B20" s="18" t="str">
        <x:f>IF('电影数据库'!C20="","",'电影数据库'!C20)</x:f>
      </x:c>
      <x:c r="C20" s="18" t="str">
        <x:f>IF('电影数据库'!D20="","",'电影数据库'!D20)</x:f>
      </x:c>
      <x:c r="D20" s="20" t="str">
        <x:f>IF('电影数据库'!E20="","",'电影数据库'!E20)</x:f>
      </x:c>
      <x:c r="E20" s="18" t="str">
        <x:f>IF('电影数据库'!F20="","",'电影数据库'!F20)</x:f>
      </x:c>
      <x:c r="F20" s="18" t="str">
        <x:f>IF('电影数据库'!G20="","",'电影数据库'!G20)</x:f>
      </x:c>
      <x:c r="G20" s="18" t="str">
        <x:f>IF('电影数据库'!H20="","",'电影数据库'!H20)</x:f>
      </x:c>
      <x:c r="H20" s="23" t="str">
        <x:f>IF('电影数据库'!I20="","",'电影数据库'!I20)</x:f>
      </x:c>
      <x:c r="I20" s="18" t="str">
        <x:f>IF('电影数据库'!J20="","",'电影数据库'!J20)</x:f>
      </x:c>
      <x:c r="J20" s="18" t="str">
        <x:f>IF('电影数据库'!K20="","",'电影数据库'!K20)</x:f>
      </x:c>
      <x:c r="K20" s="18" t="str">
        <x:f>IF('电影数据库'!L20="","",'电影数据库'!L20)</x:f>
      </x:c>
    </x:row>
    <x:row r="21" ht="22" customHeight="1">
      <x:c r="A21" s="18" t="str">
        <x:f>IF('电影数据库'!B21="","",'电影数据库'!B21)</x:f>
      </x:c>
      <x:c r="B21" s="18" t="str">
        <x:f>IF('电影数据库'!C21="","",'电影数据库'!C21)</x:f>
      </x:c>
      <x:c r="C21" s="18" t="str">
        <x:f>IF('电影数据库'!D21="","",'电影数据库'!D21)</x:f>
      </x:c>
      <x:c r="D21" s="20" t="str">
        <x:f>IF('电影数据库'!E21="","",'电影数据库'!E21)</x:f>
      </x:c>
      <x:c r="E21" s="18" t="str">
        <x:f>IF('电影数据库'!F21="","",'电影数据库'!F21)</x:f>
      </x:c>
      <x:c r="F21" s="18" t="str">
        <x:f>IF('电影数据库'!G21="","",'电影数据库'!G21)</x:f>
      </x:c>
      <x:c r="G21" s="18" t="str">
        <x:f>IF('电影数据库'!H21="","",'电影数据库'!H21)</x:f>
      </x:c>
      <x:c r="H21" s="23" t="str">
        <x:f>IF('电影数据库'!I21="","",'电影数据库'!I21)</x:f>
      </x:c>
      <x:c r="I21" s="18" t="str">
        <x:f>IF('电影数据库'!J21="","",'电影数据库'!J21)</x:f>
      </x:c>
      <x:c r="J21" s="18" t="str">
        <x:f>IF('电影数据库'!K21="","",'电影数据库'!K21)</x:f>
      </x:c>
      <x:c r="K21" s="18" t="str">
        <x:f>IF('电影数据库'!L21="","",'电影数据库'!L21)</x:f>
      </x:c>
    </x:row>
    <x:row r="22" ht="22" customHeight="1">
      <x:c r="A22" s="18" t="str">
        <x:f>IF('电影数据库'!B22="","",'电影数据库'!B22)</x:f>
      </x:c>
      <x:c r="B22" s="18" t="str">
        <x:f>IF('电影数据库'!C22="","",'电影数据库'!C22)</x:f>
      </x:c>
      <x:c r="C22" s="18" t="str">
        <x:f>IF('电影数据库'!D22="","",'电影数据库'!D22)</x:f>
      </x:c>
      <x:c r="D22" s="20" t="str">
        <x:f>IF('电影数据库'!E22="","",'电影数据库'!E22)</x:f>
      </x:c>
      <x:c r="E22" s="18" t="str">
        <x:f>IF('电影数据库'!F22="","",'电影数据库'!F22)</x:f>
      </x:c>
      <x:c r="F22" s="18" t="str">
        <x:f>IF('电影数据库'!G22="","",'电影数据库'!G22)</x:f>
      </x:c>
      <x:c r="G22" s="18" t="str">
        <x:f>IF('电影数据库'!H22="","",'电影数据库'!H22)</x:f>
      </x:c>
      <x:c r="H22" s="23" t="str">
        <x:f>IF('电影数据库'!I22="","",'电影数据库'!I22)</x:f>
      </x:c>
      <x:c r="I22" s="18" t="str">
        <x:f>IF('电影数据库'!J22="","",'电影数据库'!J22)</x:f>
      </x:c>
      <x:c r="J22" s="18" t="str">
        <x:f>IF('电影数据库'!K22="","",'电影数据库'!K22)</x:f>
      </x:c>
      <x:c r="K22" s="18" t="str">
        <x:f>IF('电影数据库'!L22="","",'电影数据库'!L22)</x:f>
      </x:c>
    </x:row>
    <x:row r="23" ht="22" customHeight="1">
      <x:c r="A23" s="18" t="str">
        <x:f>IF('电影数据库'!B23="","",'电影数据库'!B23)</x:f>
      </x:c>
      <x:c r="B23" s="18" t="str">
        <x:f>IF('电影数据库'!C23="","",'电影数据库'!C23)</x:f>
      </x:c>
      <x:c r="C23" s="18" t="str">
        <x:f>IF('电影数据库'!D23="","",'电影数据库'!D23)</x:f>
      </x:c>
      <x:c r="D23" s="20" t="str">
        <x:f>IF('电影数据库'!E23="","",'电影数据库'!E23)</x:f>
      </x:c>
      <x:c r="E23" s="18" t="str">
        <x:f>IF('电影数据库'!F23="","",'电影数据库'!F23)</x:f>
      </x:c>
      <x:c r="F23" s="18" t="str">
        <x:f>IF('电影数据库'!G23="","",'电影数据库'!G23)</x:f>
      </x:c>
      <x:c r="G23" s="18" t="str">
        <x:f>IF('电影数据库'!H23="","",'电影数据库'!H23)</x:f>
      </x:c>
      <x:c r="H23" s="23" t="str">
        <x:f>IF('电影数据库'!I23="","",'电影数据库'!I23)</x:f>
      </x:c>
      <x:c r="I23" s="18" t="str">
        <x:f>IF('电影数据库'!J23="","",'电影数据库'!J23)</x:f>
      </x:c>
      <x:c r="J23" s="18" t="str">
        <x:f>IF('电影数据库'!K23="","",'电影数据库'!K23)</x:f>
      </x:c>
      <x:c r="K23" s="18" t="str">
        <x:f>IF('电影数据库'!L23="","",'电影数据库'!L23)</x:f>
      </x:c>
    </x:row>
    <x:row r="24" ht="22" customHeight="1">
      <x:c r="A24" s="18" t="str">
        <x:f>IF('电影数据库'!B24="","",'电影数据库'!B24)</x:f>
      </x:c>
      <x:c r="B24" s="18" t="str">
        <x:f>IF('电影数据库'!C24="","",'电影数据库'!C24)</x:f>
      </x:c>
      <x:c r="C24" s="18" t="str">
        <x:f>IF('电影数据库'!D24="","",'电影数据库'!D24)</x:f>
      </x:c>
      <x:c r="D24" s="20" t="str">
        <x:f>IF('电影数据库'!E24="","",'电影数据库'!E24)</x:f>
      </x:c>
      <x:c r="E24" s="18" t="str">
        <x:f>IF('电影数据库'!F24="","",'电影数据库'!F24)</x:f>
      </x:c>
      <x:c r="F24" s="18" t="str">
        <x:f>IF('电影数据库'!G24="","",'电影数据库'!G24)</x:f>
      </x:c>
      <x:c r="G24" s="18" t="str">
        <x:f>IF('电影数据库'!H24="","",'电影数据库'!H24)</x:f>
      </x:c>
      <x:c r="H24" s="23" t="str">
        <x:f>IF('电影数据库'!I24="","",'电影数据库'!I24)</x:f>
      </x:c>
      <x:c r="I24" s="18" t="str">
        <x:f>IF('电影数据库'!J24="","",'电影数据库'!J24)</x:f>
      </x:c>
      <x:c r="J24" s="18" t="str">
        <x:f>IF('电影数据库'!K24="","",'电影数据库'!K24)</x:f>
      </x:c>
      <x:c r="K24" s="18" t="str">
        <x:f>IF('电影数据库'!L24="","",'电影数据库'!L24)</x:f>
      </x:c>
    </x:row>
    <x:row r="25" ht="22" customHeight="1">
      <x:c r="A25" s="18" t="str">
        <x:f>IF('电影数据库'!B25="","",'电影数据库'!B25)</x:f>
      </x:c>
      <x:c r="B25" s="18" t="str">
        <x:f>IF('电影数据库'!C25="","",'电影数据库'!C25)</x:f>
      </x:c>
      <x:c r="C25" s="18" t="str">
        <x:f>IF('电影数据库'!D25="","",'电影数据库'!D25)</x:f>
      </x:c>
      <x:c r="D25" s="20" t="str">
        <x:f>IF('电影数据库'!E25="","",'电影数据库'!E25)</x:f>
      </x:c>
      <x:c r="E25" s="18" t="str">
        <x:f>IF('电影数据库'!F25="","",'电影数据库'!F25)</x:f>
      </x:c>
      <x:c r="F25" s="18" t="str">
        <x:f>IF('电影数据库'!G25="","",'电影数据库'!G25)</x:f>
      </x:c>
      <x:c r="G25" s="18" t="str">
        <x:f>IF('电影数据库'!H25="","",'电影数据库'!H25)</x:f>
      </x:c>
      <x:c r="H25" s="23" t="str">
        <x:f>IF('电影数据库'!I25="","",'电影数据库'!I25)</x:f>
      </x:c>
      <x:c r="I25" s="18" t="str">
        <x:f>IF('电影数据库'!J25="","",'电影数据库'!J25)</x:f>
      </x:c>
      <x:c r="J25" s="18" t="str">
        <x:f>IF('电影数据库'!K25="","",'电影数据库'!K25)</x:f>
      </x:c>
      <x:c r="K25" s="18" t="str">
        <x:f>IF('电影数据库'!L25="","",'电影数据库'!L25)</x:f>
      </x:c>
    </x:row>
    <x:row r="26" ht="22" customHeight="1">
      <x:c r="A26" s="18" t="str">
        <x:f>IF('电影数据库'!B26="","",'电影数据库'!B26)</x:f>
      </x:c>
      <x:c r="B26" s="18" t="str">
        <x:f>IF('电影数据库'!C26="","",'电影数据库'!C26)</x:f>
      </x:c>
      <x:c r="C26" s="18" t="str">
        <x:f>IF('电影数据库'!D26="","",'电影数据库'!D26)</x:f>
      </x:c>
      <x:c r="D26" s="20" t="str">
        <x:f>IF('电影数据库'!E26="","",'电影数据库'!E26)</x:f>
      </x:c>
      <x:c r="E26" s="18" t="str">
        <x:f>IF('电影数据库'!F26="","",'电影数据库'!F26)</x:f>
      </x:c>
      <x:c r="F26" s="18" t="str">
        <x:f>IF('电影数据库'!G26="","",'电影数据库'!G26)</x:f>
      </x:c>
      <x:c r="G26" s="18" t="str">
        <x:f>IF('电影数据库'!H26="","",'电影数据库'!H26)</x:f>
      </x:c>
      <x:c r="H26" s="23" t="str">
        <x:f>IF('电影数据库'!I26="","",'电影数据库'!I26)</x:f>
      </x:c>
      <x:c r="I26" s="18" t="str">
        <x:f>IF('电影数据库'!J26="","",'电影数据库'!J26)</x:f>
      </x:c>
      <x:c r="J26" s="18" t="str">
        <x:f>IF('电影数据库'!K26="","",'电影数据库'!K26)</x:f>
      </x:c>
      <x:c r="K26" s="18" t="str">
        <x:f>IF('电影数据库'!L26="","",'电影数据库'!L26)</x:f>
      </x:c>
    </x:row>
    <x:row r="27" ht="22" customHeight="1">
      <x:c r="A27" s="18" t="str">
        <x:f>IF('电影数据库'!B27="","",'电影数据库'!B27)</x:f>
      </x:c>
      <x:c r="B27" s="18" t="str">
        <x:f>IF('电影数据库'!C27="","",'电影数据库'!C27)</x:f>
      </x:c>
      <x:c r="C27" s="18" t="str">
        <x:f>IF('电影数据库'!D27="","",'电影数据库'!D27)</x:f>
      </x:c>
      <x:c r="D27" s="20" t="str">
        <x:f>IF('电影数据库'!E27="","",'电影数据库'!E27)</x:f>
      </x:c>
      <x:c r="E27" s="18" t="str">
        <x:f>IF('电影数据库'!F27="","",'电影数据库'!F27)</x:f>
      </x:c>
      <x:c r="F27" s="18" t="str">
        <x:f>IF('电影数据库'!G27="","",'电影数据库'!G27)</x:f>
      </x:c>
      <x:c r="G27" s="18" t="str">
        <x:f>IF('电影数据库'!H27="","",'电影数据库'!H27)</x:f>
      </x:c>
      <x:c r="H27" s="23" t="str">
        <x:f>IF('电影数据库'!I27="","",'电影数据库'!I27)</x:f>
      </x:c>
      <x:c r="I27" s="18" t="str">
        <x:f>IF('电影数据库'!J27="","",'电影数据库'!J27)</x:f>
      </x:c>
      <x:c r="J27" s="18" t="str">
        <x:f>IF('电影数据库'!K27="","",'电影数据库'!K27)</x:f>
      </x:c>
      <x:c r="K27" s="18" t="str">
        <x:f>IF('电影数据库'!L27="","",'电影数据库'!L27)</x:f>
      </x:c>
    </x:row>
    <x:row r="28" ht="22" customHeight="1">
      <x:c r="A28" s="18" t="str">
        <x:f>IF('电影数据库'!B28="","",'电影数据库'!B28)</x:f>
      </x:c>
      <x:c r="B28" s="18" t="str">
        <x:f>IF('电影数据库'!C28="","",'电影数据库'!C28)</x:f>
      </x:c>
      <x:c r="C28" s="18" t="str">
        <x:f>IF('电影数据库'!D28="","",'电影数据库'!D28)</x:f>
      </x:c>
      <x:c r="D28" s="20" t="str">
        <x:f>IF('电影数据库'!E28="","",'电影数据库'!E28)</x:f>
      </x:c>
      <x:c r="E28" s="18" t="str">
        <x:f>IF('电影数据库'!F28="","",'电影数据库'!F28)</x:f>
      </x:c>
      <x:c r="F28" s="18" t="str">
        <x:f>IF('电影数据库'!G28="","",'电影数据库'!G28)</x:f>
      </x:c>
      <x:c r="G28" s="18" t="str">
        <x:f>IF('电影数据库'!H28="","",'电影数据库'!H28)</x:f>
      </x:c>
      <x:c r="H28" s="23" t="str">
        <x:f>IF('电影数据库'!I28="","",'电影数据库'!I28)</x:f>
      </x:c>
      <x:c r="I28" s="18" t="str">
        <x:f>IF('电影数据库'!J28="","",'电影数据库'!J28)</x:f>
      </x:c>
      <x:c r="J28" s="18" t="str">
        <x:f>IF('电影数据库'!K28="","",'电影数据库'!K28)</x:f>
      </x:c>
      <x:c r="K28" s="18" t="str">
        <x:f>IF('电影数据库'!L28="","",'电影数据库'!L28)</x:f>
      </x:c>
    </x:row>
    <x:row r="29" ht="22" customHeight="1">
      <x:c r="A29" s="18" t="str">
        <x:f>IF('电影数据库'!B29="","",'电影数据库'!B29)</x:f>
      </x:c>
      <x:c r="B29" s="18" t="str">
        <x:f>IF('电影数据库'!C29="","",'电影数据库'!C29)</x:f>
      </x:c>
      <x:c r="C29" s="18" t="str">
        <x:f>IF('电影数据库'!D29="","",'电影数据库'!D29)</x:f>
      </x:c>
      <x:c r="D29" s="20" t="str">
        <x:f>IF('电影数据库'!E29="","",'电影数据库'!E29)</x:f>
      </x:c>
      <x:c r="E29" s="18" t="str">
        <x:f>IF('电影数据库'!F29="","",'电影数据库'!F29)</x:f>
      </x:c>
      <x:c r="F29" s="18" t="str">
        <x:f>IF('电影数据库'!G29="","",'电影数据库'!G29)</x:f>
      </x:c>
      <x:c r="G29" s="18" t="str">
        <x:f>IF('电影数据库'!H29="","",'电影数据库'!H29)</x:f>
      </x:c>
      <x:c r="H29" s="23" t="str">
        <x:f>IF('电影数据库'!I29="","",'电影数据库'!I29)</x:f>
      </x:c>
      <x:c r="I29" s="18" t="str">
        <x:f>IF('电影数据库'!J29="","",'电影数据库'!J29)</x:f>
      </x:c>
      <x:c r="J29" s="18" t="str">
        <x:f>IF('电影数据库'!K29="","",'电影数据库'!K29)</x:f>
      </x:c>
      <x:c r="K29" s="18" t="str">
        <x:f>IF('电影数据库'!L29="","",'电影数据库'!L29)</x:f>
      </x:c>
    </x:row>
    <x:row r="30" ht="22" customHeight="1">
      <x:c r="A30" s="18" t="str">
        <x:f>IF('电影数据库'!B30="","",'电影数据库'!B30)</x:f>
      </x:c>
      <x:c r="B30" s="18" t="str">
        <x:f>IF('电影数据库'!C30="","",'电影数据库'!C30)</x:f>
      </x:c>
      <x:c r="C30" s="18" t="str">
        <x:f>IF('电影数据库'!D30="","",'电影数据库'!D30)</x:f>
      </x:c>
      <x:c r="D30" s="20" t="str">
        <x:f>IF('电影数据库'!E30="","",'电影数据库'!E30)</x:f>
      </x:c>
      <x:c r="E30" s="18" t="str">
        <x:f>IF('电影数据库'!F30="","",'电影数据库'!F30)</x:f>
      </x:c>
      <x:c r="F30" s="18" t="str">
        <x:f>IF('电影数据库'!G30="","",'电影数据库'!G30)</x:f>
      </x:c>
      <x:c r="G30" s="18" t="str">
        <x:f>IF('电影数据库'!H30="","",'电影数据库'!H30)</x:f>
      </x:c>
      <x:c r="H30" s="23" t="str">
        <x:f>IF('电影数据库'!I30="","",'电影数据库'!I30)</x:f>
      </x:c>
      <x:c r="I30" s="18" t="str">
        <x:f>IF('电影数据库'!J30="","",'电影数据库'!J30)</x:f>
      </x:c>
      <x:c r="J30" s="18" t="str">
        <x:f>IF('电影数据库'!K30="","",'电影数据库'!K30)</x:f>
      </x:c>
      <x:c r="K30" s="18" t="str">
        <x:f>IF('电影数据库'!L30="","",'电影数据库'!L30)</x:f>
      </x:c>
    </x:row>
    <x:row r="31" ht="22" customHeight="1">
      <x:c r="A31" s="18" t="str">
        <x:f>IF('电影数据库'!B31="","",'电影数据库'!B31)</x:f>
      </x:c>
      <x:c r="B31" s="18" t="str">
        <x:f>IF('电影数据库'!C31="","",'电影数据库'!C31)</x:f>
      </x:c>
      <x:c r="C31" s="18" t="str">
        <x:f>IF('电影数据库'!D31="","",'电影数据库'!D31)</x:f>
      </x:c>
      <x:c r="D31" s="20" t="str">
        <x:f>IF('电影数据库'!E31="","",'电影数据库'!E31)</x:f>
      </x:c>
      <x:c r="E31" s="18" t="str">
        <x:f>IF('电影数据库'!F31="","",'电影数据库'!F31)</x:f>
      </x:c>
      <x:c r="F31" s="18" t="str">
        <x:f>IF('电影数据库'!G31="","",'电影数据库'!G31)</x:f>
      </x:c>
      <x:c r="G31" s="18" t="str">
        <x:f>IF('电影数据库'!H31="","",'电影数据库'!H31)</x:f>
      </x:c>
      <x:c r="H31" s="23" t="str">
        <x:f>IF('电影数据库'!I31="","",'电影数据库'!I31)</x:f>
      </x:c>
      <x:c r="I31" s="18" t="str">
        <x:f>IF('电影数据库'!J31="","",'电影数据库'!J31)</x:f>
      </x:c>
      <x:c r="J31" s="18" t="str">
        <x:f>IF('电影数据库'!K31="","",'电影数据库'!K31)</x:f>
      </x:c>
      <x:c r="K31" s="18" t="str">
        <x:f>IF('电影数据库'!L31="","",'电影数据库'!L31)</x:f>
      </x:c>
    </x:row>
    <x:row r="32" ht="22" customHeight="1">
      <x:c r="A32" s="18" t="str">
        <x:f>IF('电影数据库'!B32="","",'电影数据库'!B32)</x:f>
      </x:c>
      <x:c r="B32" s="18" t="str">
        <x:f>IF('电影数据库'!C32="","",'电影数据库'!C32)</x:f>
      </x:c>
      <x:c r="C32" s="18" t="str">
        <x:f>IF('电影数据库'!D32="","",'电影数据库'!D32)</x:f>
      </x:c>
      <x:c r="D32" s="20" t="str">
        <x:f>IF('电影数据库'!E32="","",'电影数据库'!E32)</x:f>
      </x:c>
      <x:c r="E32" s="18" t="str">
        <x:f>IF('电影数据库'!F32="","",'电影数据库'!F32)</x:f>
      </x:c>
      <x:c r="F32" s="18" t="str">
        <x:f>IF('电影数据库'!G32="","",'电影数据库'!G32)</x:f>
      </x:c>
      <x:c r="G32" s="18" t="str">
        <x:f>IF('电影数据库'!H32="","",'电影数据库'!H32)</x:f>
      </x:c>
      <x:c r="H32" s="23" t="str">
        <x:f>IF('电影数据库'!I32="","",'电影数据库'!I32)</x:f>
      </x:c>
      <x:c r="I32" s="18" t="str">
        <x:f>IF('电影数据库'!J32="","",'电影数据库'!J32)</x:f>
      </x:c>
      <x:c r="J32" s="18" t="str">
        <x:f>IF('电影数据库'!K32="","",'电影数据库'!K32)</x:f>
      </x:c>
      <x:c r="K32" s="18" t="str">
        <x:f>IF('电影数据库'!L32="","",'电影数据库'!L32)</x:f>
      </x:c>
    </x:row>
    <x:row r="33" ht="22" customHeight="1">
      <x:c r="A33" s="18" t="str">
        <x:f>IF('电影数据库'!B33="","",'电影数据库'!B33)</x:f>
      </x:c>
      <x:c r="B33" s="18" t="str">
        <x:f>IF('电影数据库'!C33="","",'电影数据库'!C33)</x:f>
      </x:c>
      <x:c r="C33" s="18" t="str">
        <x:f>IF('电影数据库'!D33="","",'电影数据库'!D33)</x:f>
      </x:c>
      <x:c r="D33" s="20" t="str">
        <x:f>IF('电影数据库'!E33="","",'电影数据库'!E33)</x:f>
      </x:c>
      <x:c r="E33" s="18" t="str">
        <x:f>IF('电影数据库'!F33="","",'电影数据库'!F33)</x:f>
      </x:c>
      <x:c r="F33" s="18" t="str">
        <x:f>IF('电影数据库'!G33="","",'电影数据库'!G33)</x:f>
      </x:c>
      <x:c r="G33" s="18" t="str">
        <x:f>IF('电影数据库'!H33="","",'电影数据库'!H33)</x:f>
      </x:c>
      <x:c r="H33" s="23" t="str">
        <x:f>IF('电影数据库'!I33="","",'电影数据库'!I33)</x:f>
      </x:c>
      <x:c r="I33" s="18" t="str">
        <x:f>IF('电影数据库'!J33="","",'电影数据库'!J33)</x:f>
      </x:c>
      <x:c r="J33" s="18" t="str">
        <x:f>IF('电影数据库'!K33="","",'电影数据库'!K33)</x:f>
      </x:c>
      <x:c r="K33" s="18" t="str">
        <x:f>IF('电影数据库'!L33="","",'电影数据库'!L33)</x:f>
      </x:c>
    </x:row>
    <x:row r="34" ht="22" customHeight="1">
      <x:c r="A34" s="60" t="str">
        <x:f>IF('电影数据库'!B34="","",'电影数据库'!B34)</x:f>
      </x:c>
      <x:c r="B34" s="60" t="str">
        <x:f>IF('电影数据库'!C34="","",'电影数据库'!C34)</x:f>
      </x:c>
      <x:c r="C34" s="60" t="str">
        <x:f>IF('电影数据库'!D34="","",'电影数据库'!D34)</x:f>
      </x:c>
      <x:c r="D34" s="61" t="str">
        <x:f>IF('电影数据库'!E34="","",'电影数据库'!E34)</x:f>
      </x:c>
      <x:c r="E34" s="60" t="str">
        <x:f>IF('电影数据库'!F34="","",'电影数据库'!F34)</x:f>
      </x:c>
      <x:c r="F34" s="60" t="str">
        <x:f>IF('电影数据库'!G34="","",'电影数据库'!G34)</x:f>
      </x:c>
      <x:c r="G34" s="60" t="str">
        <x:f>IF('电影数据库'!H34="","",'电影数据库'!H34)</x:f>
      </x:c>
      <x:c r="H34" s="62" t="str">
        <x:f>IF('电影数据库'!I34="","",'电影数据库'!I34)</x:f>
      </x:c>
      <x:c r="I34" s="60" t="str">
        <x:f>IF('电影数据库'!J34="","",'电影数据库'!J34)</x:f>
      </x:c>
      <x:c r="J34" s="60" t="str">
        <x:f>IF('电影数据库'!K34="","",'电影数据库'!K34)</x:f>
      </x:c>
      <x:c r="K34" s="60" t="str">
        <x:f>IF('电影数据库'!L34="","",'电影数据库'!L34)</x:f>
      </x:c>
    </x:row>
  </x:sheetData>
  <x:mergeCells>
    <x:mergeCell ref="A1:K1"/>
    <x:mergeCell ref="A2:K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2" hidden="0" customWidth="1"/>
    <x:col min="3" max="3" width="25" hidden="0" customWidth="1"/>
    <x:col min="4" max="4" width="22" hidden="0" customWidth="1"/>
    <x:col min="5" max="5" width="12" hidden="0" customWidth="1"/>
    <x:col min="6" max="6" width="20" hidden="0" customWidth="1"/>
    <x:col min="7" max="7" width="16" hidden="0" customWidth="1"/>
    <x:col min="8" max="8" width="24" hidden="0" customWidth="1"/>
    <x:col min="9" max="9" width="14" hidden="0" customWidth="1"/>
    <x:col min="10" max="10" width="12" hidden="0" customWidth="1"/>
    <x:col min="11" max="11" width="38" hidden="0" customWidth="1"/>
    <x:col min="12" max="12" width="42" hidden="0" customWidth="1"/>
  </x:cols>
  <x:sheetData>
    <x:row r="1" ht="34" customHeight="1">
      <x:c r="A1" s="3" t="str">
        <x:v>电影数据库 · 本地唯一数据源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4" customHeight="1">
      <x:c r="A2" s="13" t="str">
        <x:v>每部电影只保存一条记录；展示页可按地区横向或标准清单重新生成。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</x:row>
    <x:row r="4" ht="26" customHeight="1">
      <x:c r="A4" s="15" t="str">
        <x:v>记录ID</x:v>
      </x:c>
      <x:c r="B4" s="15" t="str">
        <x:v>中文名</x:v>
      </x:c>
      <x:c r="C4" s="15" t="str">
        <x:v>英文/原名</x:v>
      </x:c>
      <x:c r="D4" s="15" t="str">
        <x:v>导演</x:v>
      </x:c>
      <x:c r="E4" s="15" t="str">
        <x:v>上映年份</x:v>
      </x:c>
      <x:c r="F4" s="15" t="str">
        <x:v>国家/地区</x:v>
      </x:c>
      <x:c r="G4" s="15" t="str">
        <x:v>地区分类</x:v>
      </x:c>
      <x:c r="H4" s="15" t="str">
        <x:v>类型</x:v>
      </x:c>
      <x:c r="I4" s="15" t="str">
        <x:v>观影日期</x:v>
      </x:c>
      <x:c r="J4" s="15" t="str">
        <x:v>个人评分</x:v>
      </x:c>
      <x:c r="K4" s="15" t="str">
        <x:v>私人短评</x:v>
      </x:c>
      <x:c r="L4" s="15" t="str">
        <x:v>信息来源</x:v>
      </x:c>
    </x:row>
    <x:row r="5" ht="22" customHeight="1">
      <x:c r="A5" s="17"/>
      <x:c r="B5" s="17"/>
      <x:c r="C5" s="17"/>
      <x:c r="D5" s="17"/>
      <x:c r="E5" s="19"/>
      <x:c r="F5" s="17"/>
      <x:c r="G5" s="17"/>
      <x:c r="H5" s="17"/>
      <x:c r="I5" s="22"/>
      <x:c r="J5" s="17"/>
      <x:c r="K5" s="17"/>
      <x:c r="L5" s="17"/>
    </x:row>
    <x:row r="6" ht="22" customHeight="1">
      <x:c r="A6" s="18"/>
      <x:c r="B6" s="18"/>
      <x:c r="C6" s="18"/>
      <x:c r="D6" s="18"/>
      <x:c r="E6" s="20"/>
      <x:c r="F6" s="18"/>
      <x:c r="G6" s="18"/>
      <x:c r="H6" s="18"/>
      <x:c r="I6" s="23"/>
      <x:c r="J6" s="18"/>
      <x:c r="K6" s="18"/>
      <x:c r="L6" s="18"/>
    </x:row>
    <x:row r="7" ht="22" customHeight="1">
      <x:c r="A7" s="18"/>
      <x:c r="B7" s="18"/>
      <x:c r="C7" s="18"/>
      <x:c r="D7" s="18"/>
      <x:c r="E7" s="20"/>
      <x:c r="F7" s="18"/>
      <x:c r="G7" s="18"/>
      <x:c r="H7" s="18"/>
      <x:c r="I7" s="23"/>
      <x:c r="J7" s="18"/>
      <x:c r="K7" s="18"/>
      <x:c r="L7" s="18"/>
    </x:row>
    <x:row r="8" ht="22" customHeight="1">
      <x:c r="A8" s="18"/>
      <x:c r="B8" s="18"/>
      <x:c r="C8" s="18"/>
      <x:c r="D8" s="18"/>
      <x:c r="E8" s="20"/>
      <x:c r="F8" s="18"/>
      <x:c r="G8" s="18"/>
      <x:c r="H8" s="18"/>
      <x:c r="I8" s="23"/>
      <x:c r="J8" s="18"/>
      <x:c r="K8" s="18"/>
      <x:c r="L8" s="18"/>
    </x:row>
    <x:row r="9" ht="22" customHeight="1">
      <x:c r="A9" s="18"/>
      <x:c r="B9" s="18"/>
      <x:c r="C9" s="18"/>
      <x:c r="D9" s="18"/>
      <x:c r="E9" s="20"/>
      <x:c r="F9" s="18"/>
      <x:c r="G9" s="18"/>
      <x:c r="H9" s="18"/>
      <x:c r="I9" s="23"/>
      <x:c r="J9" s="18"/>
      <x:c r="K9" s="18"/>
      <x:c r="L9" s="18"/>
    </x:row>
    <x:row r="10" ht="22" customHeight="1">
      <x:c r="A10" s="18"/>
      <x:c r="B10" s="18"/>
      <x:c r="C10" s="18"/>
      <x:c r="D10" s="18"/>
      <x:c r="E10" s="20"/>
      <x:c r="F10" s="18"/>
      <x:c r="G10" s="18"/>
      <x:c r="H10" s="18"/>
      <x:c r="I10" s="23"/>
      <x:c r="J10" s="18"/>
      <x:c r="K10" s="18"/>
      <x:c r="L10" s="18"/>
    </x:row>
    <x:row r="11" ht="22" customHeight="1">
      <x:c r="A11" s="18"/>
      <x:c r="B11" s="18"/>
      <x:c r="C11" s="18"/>
      <x:c r="D11" s="18"/>
      <x:c r="E11" s="20"/>
      <x:c r="F11" s="18"/>
      <x:c r="G11" s="18"/>
      <x:c r="H11" s="18"/>
      <x:c r="I11" s="23"/>
      <x:c r="J11" s="18"/>
      <x:c r="K11" s="18"/>
      <x:c r="L11" s="18"/>
    </x:row>
    <x:row r="12" ht="22" customHeight="1">
      <x:c r="A12" s="18"/>
      <x:c r="B12" s="18"/>
      <x:c r="C12" s="18"/>
      <x:c r="D12" s="18"/>
      <x:c r="E12" s="20"/>
      <x:c r="F12" s="18"/>
      <x:c r="G12" s="18"/>
      <x:c r="H12" s="18"/>
      <x:c r="I12" s="23"/>
      <x:c r="J12" s="18"/>
      <x:c r="K12" s="18"/>
      <x:c r="L12" s="18"/>
    </x:row>
    <x:row r="13" ht="22" customHeight="1">
      <x:c r="A13" s="18"/>
      <x:c r="B13" s="18"/>
      <x:c r="C13" s="18"/>
      <x:c r="D13" s="18"/>
      <x:c r="E13" s="20"/>
      <x:c r="F13" s="18"/>
      <x:c r="G13" s="18"/>
      <x:c r="H13" s="18"/>
      <x:c r="I13" s="23"/>
      <x:c r="J13" s="18"/>
      <x:c r="K13" s="18"/>
      <x:c r="L13" s="18"/>
    </x:row>
    <x:row r="14" ht="22" customHeight="1">
      <x:c r="A14" s="18"/>
      <x:c r="B14" s="18"/>
      <x:c r="C14" s="18"/>
      <x:c r="D14" s="18"/>
      <x:c r="E14" s="20"/>
      <x:c r="F14" s="18"/>
      <x:c r="G14" s="18"/>
      <x:c r="H14" s="18"/>
      <x:c r="I14" s="23"/>
      <x:c r="J14" s="18"/>
      <x:c r="K14" s="18"/>
      <x:c r="L14" s="18"/>
    </x:row>
    <x:row r="15" ht="22" customHeight="1">
      <x:c r="A15" s="18"/>
      <x:c r="B15" s="18"/>
      <x:c r="C15" s="18"/>
      <x:c r="D15" s="18"/>
      <x:c r="E15" s="20"/>
      <x:c r="F15" s="18"/>
      <x:c r="G15" s="18"/>
      <x:c r="H15" s="18"/>
      <x:c r="I15" s="23"/>
      <x:c r="J15" s="18"/>
      <x:c r="K15" s="18"/>
      <x:c r="L15" s="18"/>
    </x:row>
    <x:row r="16" ht="22" customHeight="1">
      <x:c r="A16" s="18"/>
      <x:c r="B16" s="18"/>
      <x:c r="C16" s="18"/>
      <x:c r="D16" s="18"/>
      <x:c r="E16" s="20"/>
      <x:c r="F16" s="18"/>
      <x:c r="G16" s="18"/>
      <x:c r="H16" s="18"/>
      <x:c r="I16" s="23"/>
      <x:c r="J16" s="18"/>
      <x:c r="K16" s="18"/>
      <x:c r="L16" s="18"/>
    </x:row>
    <x:row r="17" ht="22" customHeight="1">
      <x:c r="A17" s="18"/>
      <x:c r="B17" s="18"/>
      <x:c r="C17" s="18"/>
      <x:c r="D17" s="18"/>
      <x:c r="E17" s="20"/>
      <x:c r="F17" s="18"/>
      <x:c r="G17" s="18"/>
      <x:c r="H17" s="18"/>
      <x:c r="I17" s="23"/>
      <x:c r="J17" s="18"/>
      <x:c r="K17" s="18"/>
      <x:c r="L17" s="18"/>
    </x:row>
    <x:row r="18" ht="22" customHeight="1">
      <x:c r="A18" s="18"/>
      <x:c r="B18" s="18"/>
      <x:c r="C18" s="18"/>
      <x:c r="D18" s="18"/>
      <x:c r="E18" s="20"/>
      <x:c r="F18" s="18"/>
      <x:c r="G18" s="18"/>
      <x:c r="H18" s="18"/>
      <x:c r="I18" s="23"/>
      <x:c r="J18" s="18"/>
      <x:c r="K18" s="18"/>
      <x:c r="L18" s="18"/>
    </x:row>
    <x:row r="19" ht="22" customHeight="1">
      <x:c r="A19" s="18"/>
      <x:c r="B19" s="18"/>
      <x:c r="C19" s="18"/>
      <x:c r="D19" s="18"/>
      <x:c r="E19" s="20"/>
      <x:c r="F19" s="18"/>
      <x:c r="G19" s="18"/>
      <x:c r="H19" s="18"/>
      <x:c r="I19" s="23"/>
      <x:c r="J19" s="18"/>
      <x:c r="K19" s="18"/>
      <x:c r="L19" s="18"/>
    </x:row>
    <x:row r="20" ht="22" customHeight="1">
      <x:c r="A20" s="18"/>
      <x:c r="B20" s="18"/>
      <x:c r="C20" s="18"/>
      <x:c r="D20" s="18"/>
      <x:c r="E20" s="20"/>
      <x:c r="F20" s="18"/>
      <x:c r="G20" s="18"/>
      <x:c r="H20" s="18"/>
      <x:c r="I20" s="23"/>
      <x:c r="J20" s="18"/>
      <x:c r="K20" s="18"/>
      <x:c r="L20" s="18"/>
    </x:row>
    <x:row r="21" ht="22" customHeight="1">
      <x:c r="A21" s="18"/>
      <x:c r="B21" s="18"/>
      <x:c r="C21" s="18"/>
      <x:c r="D21" s="18"/>
      <x:c r="E21" s="20"/>
      <x:c r="F21" s="18"/>
      <x:c r="G21" s="18"/>
      <x:c r="H21" s="18"/>
      <x:c r="I21" s="23"/>
      <x:c r="J21" s="18"/>
      <x:c r="K21" s="18"/>
      <x:c r="L21" s="18"/>
    </x:row>
    <x:row r="22" ht="22" customHeight="1">
      <x:c r="A22" s="18"/>
      <x:c r="B22" s="18"/>
      <x:c r="C22" s="18"/>
      <x:c r="D22" s="18"/>
      <x:c r="E22" s="20"/>
      <x:c r="F22" s="18"/>
      <x:c r="G22" s="18"/>
      <x:c r="H22" s="18"/>
      <x:c r="I22" s="23"/>
      <x:c r="J22" s="18"/>
      <x:c r="K22" s="18"/>
      <x:c r="L22" s="18"/>
    </x:row>
    <x:row r="23" ht="22" customHeight="1">
      <x:c r="A23" s="18"/>
      <x:c r="B23" s="18"/>
      <x:c r="C23" s="18"/>
      <x:c r="D23" s="18"/>
      <x:c r="E23" s="20"/>
      <x:c r="F23" s="18"/>
      <x:c r="G23" s="18"/>
      <x:c r="H23" s="18"/>
      <x:c r="I23" s="23"/>
      <x:c r="J23" s="18"/>
      <x:c r="K23" s="18"/>
      <x:c r="L23" s="18"/>
    </x:row>
    <x:row r="24" ht="22" customHeight="1">
      <x:c r="A24" s="18"/>
      <x:c r="B24" s="18"/>
      <x:c r="C24" s="18"/>
      <x:c r="D24" s="18"/>
      <x:c r="E24" s="20"/>
      <x:c r="F24" s="18"/>
      <x:c r="G24" s="18"/>
      <x:c r="H24" s="18"/>
      <x:c r="I24" s="23"/>
      <x:c r="J24" s="18"/>
      <x:c r="K24" s="18"/>
      <x:c r="L24" s="18"/>
    </x:row>
    <x:row r="25" ht="22" customHeight="1">
      <x:c r="A25" s="18"/>
      <x:c r="B25" s="18"/>
      <x:c r="C25" s="18"/>
      <x:c r="D25" s="18"/>
      <x:c r="E25" s="20"/>
      <x:c r="F25" s="18"/>
      <x:c r="G25" s="18"/>
      <x:c r="H25" s="18"/>
      <x:c r="I25" s="23"/>
      <x:c r="J25" s="18"/>
      <x:c r="K25" s="18"/>
      <x:c r="L25" s="18"/>
    </x:row>
    <x:row r="26" ht="22" customHeight="1">
      <x:c r="A26" s="18"/>
      <x:c r="B26" s="18"/>
      <x:c r="C26" s="18"/>
      <x:c r="D26" s="18"/>
      <x:c r="E26" s="20"/>
      <x:c r="F26" s="18"/>
      <x:c r="G26" s="18"/>
      <x:c r="H26" s="18"/>
      <x:c r="I26" s="23"/>
      <x:c r="J26" s="18"/>
      <x:c r="K26" s="18"/>
      <x:c r="L26" s="18"/>
    </x:row>
    <x:row r="27" ht="22" customHeight="1">
      <x:c r="A27" s="18"/>
      <x:c r="B27" s="18"/>
      <x:c r="C27" s="18"/>
      <x:c r="D27" s="18"/>
      <x:c r="E27" s="20"/>
      <x:c r="F27" s="18"/>
      <x:c r="G27" s="18"/>
      <x:c r="H27" s="18"/>
      <x:c r="I27" s="23"/>
      <x:c r="J27" s="18"/>
      <x:c r="K27" s="18"/>
      <x:c r="L27" s="18"/>
    </x:row>
    <x:row r="28" ht="22" customHeight="1">
      <x:c r="A28" s="18"/>
      <x:c r="B28" s="18"/>
      <x:c r="C28" s="18"/>
      <x:c r="D28" s="18"/>
      <x:c r="E28" s="20"/>
      <x:c r="F28" s="18"/>
      <x:c r="G28" s="18"/>
      <x:c r="H28" s="18"/>
      <x:c r="I28" s="23"/>
      <x:c r="J28" s="18"/>
      <x:c r="K28" s="18"/>
      <x:c r="L28" s="18"/>
    </x:row>
    <x:row r="29" ht="22" customHeight="1">
      <x:c r="A29" s="18"/>
      <x:c r="B29" s="18"/>
      <x:c r="C29" s="18"/>
      <x:c r="D29" s="18"/>
      <x:c r="E29" s="20"/>
      <x:c r="F29" s="18"/>
      <x:c r="G29" s="18"/>
      <x:c r="H29" s="18"/>
      <x:c r="I29" s="23"/>
      <x:c r="J29" s="18"/>
      <x:c r="K29" s="18"/>
      <x:c r="L29" s="18"/>
    </x:row>
    <x:row r="30" ht="22" customHeight="1">
      <x:c r="A30" s="18"/>
      <x:c r="B30" s="18"/>
      <x:c r="C30" s="18"/>
      <x:c r="D30" s="18"/>
      <x:c r="E30" s="20"/>
      <x:c r="F30" s="18"/>
      <x:c r="G30" s="18"/>
      <x:c r="H30" s="18"/>
      <x:c r="I30" s="23"/>
      <x:c r="J30" s="18"/>
      <x:c r="K30" s="18"/>
      <x:c r="L30" s="18"/>
    </x:row>
    <x:row r="31" ht="22" customHeight="1">
      <x:c r="A31" s="18"/>
      <x:c r="B31" s="18"/>
      <x:c r="C31" s="18"/>
      <x:c r="D31" s="18"/>
      <x:c r="E31" s="20"/>
      <x:c r="F31" s="18"/>
      <x:c r="G31" s="18"/>
      <x:c r="H31" s="18"/>
      <x:c r="I31" s="23"/>
      <x:c r="J31" s="18"/>
      <x:c r="K31" s="18"/>
      <x:c r="L31" s="18"/>
    </x:row>
    <x:row r="32" ht="22" customHeight="1">
      <x:c r="A32" s="18"/>
      <x:c r="B32" s="18"/>
      <x:c r="C32" s="18"/>
      <x:c r="D32" s="18"/>
      <x:c r="E32" s="20"/>
      <x:c r="F32" s="18"/>
      <x:c r="G32" s="18"/>
      <x:c r="H32" s="18"/>
      <x:c r="I32" s="23"/>
      <x:c r="J32" s="18"/>
      <x:c r="K32" s="18"/>
      <x:c r="L32" s="18"/>
    </x:row>
    <x:row r="33" ht="22" customHeight="1">
      <x:c r="A33" s="18"/>
      <x:c r="B33" s="18"/>
      <x:c r="C33" s="18"/>
      <x:c r="D33" s="18"/>
      <x:c r="E33" s="20"/>
      <x:c r="F33" s="18"/>
      <x:c r="G33" s="18"/>
      <x:c r="H33" s="18"/>
      <x:c r="I33" s="23"/>
      <x:c r="J33" s="18"/>
      <x:c r="K33" s="18"/>
      <x:c r="L33" s="18"/>
    </x:row>
    <x:row r="34" ht="22" customHeight="1">
      <x:c r="A34" s="18"/>
      <x:c r="B34" s="18"/>
      <x:c r="C34" s="18"/>
      <x:c r="D34" s="18"/>
      <x:c r="E34" s="20"/>
      <x:c r="F34" s="18"/>
      <x:c r="G34" s="18"/>
      <x:c r="H34" s="18"/>
      <x:c r="I34" s="23"/>
      <x:c r="J34" s="18"/>
      <x:c r="K34" s="18"/>
      <x:c r="L34" s="18"/>
    </x:row>
    <x:row r="35">
      <x:c r="E35" s="21"/>
      <x:c r="I35" s="24"/>
    </x:row>
    <x:row r="36">
      <x:c r="E36" s="21"/>
      <x:c r="I36" s="24"/>
    </x:row>
    <x:row r="37">
      <x:c r="E37" s="21"/>
      <x:c r="I37" s="24"/>
    </x:row>
    <x:row r="38">
      <x:c r="E38" s="21"/>
      <x:c r="I38" s="24"/>
    </x:row>
    <x:row r="39">
      <x:c r="E39" s="21"/>
      <x:c r="I39" s="24"/>
    </x:row>
    <x:row r="40">
      <x:c r="E40" s="21"/>
      <x:c r="I40" s="24"/>
    </x:row>
    <x:row r="41">
      <x:c r="E41" s="21"/>
      <x:c r="I41" s="24"/>
    </x:row>
    <x:row r="42">
      <x:c r="E42" s="21"/>
      <x:c r="I42" s="24"/>
    </x:row>
    <x:row r="43">
      <x:c r="E43" s="21"/>
      <x:c r="I43" s="24"/>
    </x:row>
    <x:row r="44">
      <x:c r="E44" s="21"/>
      <x:c r="I44" s="24"/>
    </x:row>
    <x:row r="45">
      <x:c r="E45" s="21"/>
      <x:c r="I45" s="24"/>
    </x:row>
    <x:row r="46">
      <x:c r="E46" s="21"/>
      <x:c r="I46" s="24"/>
    </x:row>
    <x:row r="47">
      <x:c r="E47" s="21"/>
      <x:c r="I47" s="24"/>
    </x:row>
    <x:row r="48">
      <x:c r="E48" s="21"/>
      <x:c r="I48" s="24"/>
    </x:row>
    <x:row r="49">
      <x:c r="E49" s="21"/>
      <x:c r="I49" s="24"/>
    </x:row>
    <x:row r="50">
      <x:c r="E50" s="21"/>
      <x:c r="I50" s="24"/>
    </x:row>
    <x:row r="51">
      <x:c r="E51" s="21"/>
      <x:c r="I51" s="24"/>
    </x:row>
    <x:row r="52">
      <x:c r="E52" s="21"/>
      <x:c r="I52" s="24"/>
    </x:row>
    <x:row r="53">
      <x:c r="E53" s="21"/>
      <x:c r="I53" s="24"/>
    </x:row>
    <x:row r="54">
      <x:c r="E54" s="21"/>
      <x:c r="I54" s="24"/>
    </x:row>
    <x:row r="55">
      <x:c r="E55" s="21"/>
      <x:c r="I55" s="24"/>
    </x:row>
    <x:row r="56">
      <x:c r="E56" s="21"/>
      <x:c r="I56" s="24"/>
    </x:row>
    <x:row r="57">
      <x:c r="E57" s="21"/>
      <x:c r="I57" s="24"/>
    </x:row>
    <x:row r="58">
      <x:c r="E58" s="21"/>
      <x:c r="I58" s="24"/>
    </x:row>
    <x:row r="59">
      <x:c r="E59" s="21"/>
      <x:c r="I59" s="24"/>
    </x:row>
    <x:row r="60">
      <x:c r="E60" s="21"/>
      <x:c r="I60" s="24"/>
    </x:row>
    <x:row r="61">
      <x:c r="E61" s="21"/>
      <x:c r="I61" s="24"/>
    </x:row>
    <x:row r="62">
      <x:c r="E62" s="21"/>
      <x:c r="I62" s="24"/>
    </x:row>
    <x:row r="63">
      <x:c r="E63" s="21"/>
      <x:c r="I63" s="24"/>
    </x:row>
    <x:row r="64">
      <x:c r="E64" s="21"/>
      <x:c r="I64" s="24"/>
    </x:row>
    <x:row r="65">
      <x:c r="E65" s="21"/>
      <x:c r="I65" s="24"/>
    </x:row>
    <x:row r="66">
      <x:c r="E66" s="21"/>
      <x:c r="I66" s="24"/>
    </x:row>
    <x:row r="67">
      <x:c r="E67" s="21"/>
      <x:c r="I67" s="24"/>
    </x:row>
    <x:row r="68">
      <x:c r="E68" s="21"/>
      <x:c r="I68" s="24"/>
    </x:row>
    <x:row r="69">
      <x:c r="E69" s="21"/>
      <x:c r="I69" s="24"/>
    </x:row>
    <x:row r="70">
      <x:c r="E70" s="21"/>
      <x:c r="I70" s="24"/>
    </x:row>
    <x:row r="71">
      <x:c r="E71" s="21"/>
      <x:c r="I71" s="24"/>
    </x:row>
    <x:row r="72">
      <x:c r="E72" s="21"/>
      <x:c r="I72" s="24"/>
    </x:row>
    <x:row r="73">
      <x:c r="E73" s="21"/>
      <x:c r="I73" s="24"/>
    </x:row>
    <x:row r="74">
      <x:c r="E74" s="21"/>
      <x:c r="I74" s="24"/>
    </x:row>
    <x:row r="75">
      <x:c r="E75" s="21"/>
      <x:c r="I75" s="24"/>
    </x:row>
    <x:row r="76">
      <x:c r="E76" s="21"/>
      <x:c r="I76" s="24"/>
    </x:row>
    <x:row r="77">
      <x:c r="E77" s="21"/>
      <x:c r="I77" s="24"/>
    </x:row>
    <x:row r="78">
      <x:c r="E78" s="21"/>
      <x:c r="I78" s="24"/>
    </x:row>
    <x:row r="79">
      <x:c r="E79" s="21"/>
      <x:c r="I79" s="24"/>
    </x:row>
    <x:row r="80">
      <x:c r="E80" s="21"/>
      <x:c r="I80" s="24"/>
    </x:row>
    <x:row r="81">
      <x:c r="E81" s="21"/>
      <x:c r="I81" s="24"/>
    </x:row>
    <x:row r="82">
      <x:c r="E82" s="21"/>
      <x:c r="I82" s="24"/>
    </x:row>
    <x:row r="83">
      <x:c r="E83" s="21"/>
      <x:c r="I83" s="24"/>
    </x:row>
    <x:row r="84">
      <x:c r="E84" s="21"/>
      <x:c r="I84" s="24"/>
    </x:row>
    <x:row r="85">
      <x:c r="E85" s="21"/>
      <x:c r="I85" s="24"/>
    </x:row>
    <x:row r="86">
      <x:c r="E86" s="21"/>
      <x:c r="I86" s="24"/>
    </x:row>
    <x:row r="87">
      <x:c r="E87" s="21"/>
      <x:c r="I87" s="24"/>
    </x:row>
    <x:row r="88">
      <x:c r="E88" s="21"/>
      <x:c r="I88" s="24"/>
    </x:row>
    <x:row r="89">
      <x:c r="E89" s="21"/>
      <x:c r="I89" s="24"/>
    </x:row>
    <x:row r="90">
      <x:c r="E90" s="21"/>
      <x:c r="I90" s="24"/>
    </x:row>
    <x:row r="91">
      <x:c r="E91" s="21"/>
      <x:c r="I91" s="24"/>
    </x:row>
    <x:row r="92">
      <x:c r="E92" s="21"/>
      <x:c r="I92" s="24"/>
    </x:row>
    <x:row r="93">
      <x:c r="E93" s="21"/>
      <x:c r="I93" s="24"/>
    </x:row>
    <x:row r="94">
      <x:c r="E94" s="21"/>
      <x:c r="I94" s="24"/>
    </x:row>
    <x:row r="95">
      <x:c r="E95" s="21"/>
      <x:c r="I95" s="24"/>
    </x:row>
    <x:row r="96">
      <x:c r="E96" s="21"/>
      <x:c r="I96" s="24"/>
    </x:row>
    <x:row r="97">
      <x:c r="E97" s="21"/>
      <x:c r="I97" s="24"/>
    </x:row>
    <x:row r="98">
      <x:c r="E98" s="21"/>
      <x:c r="I98" s="24"/>
    </x:row>
    <x:row r="99">
      <x:c r="E99" s="21"/>
      <x:c r="I99" s="24"/>
    </x:row>
    <x:row r="100">
      <x:c r="E100" s="21"/>
      <x:c r="I100" s="24"/>
    </x:row>
    <x:row r="101">
      <x:c r="E101" s="21"/>
      <x:c r="I101" s="24"/>
    </x:row>
    <x:row r="102">
      <x:c r="E102" s="21"/>
      <x:c r="I102" s="24"/>
    </x:row>
    <x:row r="103">
      <x:c r="E103" s="21"/>
      <x:c r="I103" s="24"/>
    </x:row>
    <x:row r="104">
      <x:c r="E104" s="21"/>
      <x:c r="I104" s="24"/>
    </x:row>
    <x:row r="105">
      <x:c r="E105" s="21"/>
      <x:c r="I105" s="24"/>
    </x:row>
    <x:row r="106">
      <x:c r="E106" s="21"/>
      <x:c r="I106" s="24"/>
    </x:row>
    <x:row r="107">
      <x:c r="E107" s="21"/>
      <x:c r="I107" s="24"/>
    </x:row>
    <x:row r="108">
      <x:c r="E108" s="21"/>
      <x:c r="I108" s="24"/>
    </x:row>
    <x:row r="109">
      <x:c r="E109" s="21"/>
      <x:c r="I109" s="24"/>
    </x:row>
    <x:row r="110">
      <x:c r="E110" s="21"/>
      <x:c r="I110" s="24"/>
    </x:row>
    <x:row r="111">
      <x:c r="E111" s="21"/>
      <x:c r="I111" s="24"/>
    </x:row>
    <x:row r="112">
      <x:c r="E112" s="21"/>
      <x:c r="I112" s="24"/>
    </x:row>
    <x:row r="113">
      <x:c r="E113" s="21"/>
      <x:c r="I113" s="24"/>
    </x:row>
    <x:row r="114">
      <x:c r="E114" s="21"/>
      <x:c r="I114" s="24"/>
    </x:row>
    <x:row r="115">
      <x:c r="E115" s="21"/>
      <x:c r="I115" s="24"/>
    </x:row>
    <x:row r="116">
      <x:c r="E116" s="21"/>
      <x:c r="I116" s="24"/>
    </x:row>
    <x:row r="117">
      <x:c r="E117" s="21"/>
      <x:c r="I117" s="24"/>
    </x:row>
    <x:row r="118">
      <x:c r="E118" s="21"/>
      <x:c r="I118" s="24"/>
    </x:row>
    <x:row r="119">
      <x:c r="E119" s="21"/>
      <x:c r="I119" s="24"/>
    </x:row>
    <x:row r="120">
      <x:c r="E120" s="21"/>
      <x:c r="I120" s="24"/>
    </x:row>
    <x:row r="121">
      <x:c r="E121" s="21"/>
      <x:c r="I121" s="24"/>
    </x:row>
    <x:row r="122">
      <x:c r="E122" s="21"/>
      <x:c r="I122" s="24"/>
    </x:row>
    <x:row r="123">
      <x:c r="E123" s="21"/>
      <x:c r="I123" s="24"/>
    </x:row>
    <x:row r="124">
      <x:c r="E124" s="21"/>
      <x:c r="I124" s="24"/>
    </x:row>
    <x:row r="125">
      <x:c r="E125" s="21"/>
      <x:c r="I125" s="24"/>
    </x:row>
    <x:row r="126">
      <x:c r="E126" s="21"/>
      <x:c r="I126" s="24"/>
    </x:row>
    <x:row r="127">
      <x:c r="E127" s="21"/>
      <x:c r="I127" s="24"/>
    </x:row>
    <x:row r="128">
      <x:c r="E128" s="21"/>
      <x:c r="I128" s="24"/>
    </x:row>
    <x:row r="129">
      <x:c r="E129" s="21"/>
      <x:c r="I129" s="24"/>
    </x:row>
    <x:row r="130">
      <x:c r="E130" s="21"/>
      <x:c r="I130" s="24"/>
    </x:row>
    <x:row r="131">
      <x:c r="E131" s="21"/>
      <x:c r="I131" s="24"/>
    </x:row>
    <x:row r="132">
      <x:c r="E132" s="21"/>
      <x:c r="I132" s="24"/>
    </x:row>
    <x:row r="133">
      <x:c r="E133" s="21"/>
      <x:c r="I133" s="24"/>
    </x:row>
    <x:row r="134">
      <x:c r="E134" s="21"/>
      <x:c r="I134" s="24"/>
    </x:row>
    <x:row r="135">
      <x:c r="E135" s="21"/>
      <x:c r="I135" s="24"/>
    </x:row>
    <x:row r="136">
      <x:c r="E136" s="21"/>
      <x:c r="I136" s="24"/>
    </x:row>
    <x:row r="137">
      <x:c r="E137" s="21"/>
      <x:c r="I137" s="24"/>
    </x:row>
    <x:row r="138">
      <x:c r="E138" s="21"/>
      <x:c r="I138" s="24"/>
    </x:row>
    <x:row r="139">
      <x:c r="E139" s="21"/>
      <x:c r="I139" s="24"/>
    </x:row>
    <x:row r="140">
      <x:c r="E140" s="21"/>
      <x:c r="I140" s="24"/>
    </x:row>
    <x:row r="141">
      <x:c r="E141" s="21"/>
      <x:c r="I141" s="24"/>
    </x:row>
    <x:row r="142">
      <x:c r="E142" s="21"/>
      <x:c r="I142" s="24"/>
    </x:row>
    <x:row r="143">
      <x:c r="E143" s="21"/>
      <x:c r="I143" s="24"/>
    </x:row>
    <x:row r="144">
      <x:c r="E144" s="21"/>
      <x:c r="I144" s="24"/>
    </x:row>
    <x:row r="145">
      <x:c r="E145" s="21"/>
      <x:c r="I145" s="24"/>
    </x:row>
    <x:row r="146">
      <x:c r="E146" s="21"/>
      <x:c r="I146" s="24"/>
    </x:row>
    <x:row r="147">
      <x:c r="E147" s="21"/>
      <x:c r="I147" s="24"/>
    </x:row>
    <x:row r="148">
      <x:c r="E148" s="21"/>
      <x:c r="I148" s="24"/>
    </x:row>
    <x:row r="149">
      <x:c r="E149" s="21"/>
      <x:c r="I149" s="24"/>
    </x:row>
    <x:row r="150">
      <x:c r="E150" s="21"/>
      <x:c r="I150" s="24"/>
    </x:row>
    <x:row r="151">
      <x:c r="E151" s="21"/>
      <x:c r="I151" s="24"/>
    </x:row>
    <x:row r="152">
      <x:c r="E152" s="21"/>
      <x:c r="I152" s="24"/>
    </x:row>
    <x:row r="153">
      <x:c r="E153" s="21"/>
      <x:c r="I153" s="24"/>
    </x:row>
    <x:row r="154">
      <x:c r="E154" s="21"/>
      <x:c r="I154" s="24"/>
    </x:row>
    <x:row r="155">
      <x:c r="E155" s="21"/>
      <x:c r="I155" s="24"/>
    </x:row>
    <x:row r="156">
      <x:c r="E156" s="21"/>
      <x:c r="I156" s="24"/>
    </x:row>
    <x:row r="157">
      <x:c r="E157" s="21"/>
      <x:c r="I157" s="24"/>
    </x:row>
    <x:row r="158">
      <x:c r="E158" s="21"/>
      <x:c r="I158" s="24"/>
    </x:row>
    <x:row r="159">
      <x:c r="E159" s="21"/>
      <x:c r="I159" s="24"/>
    </x:row>
    <x:row r="160">
      <x:c r="E160" s="21"/>
      <x:c r="I160" s="24"/>
    </x:row>
    <x:row r="161">
      <x:c r="E161" s="21"/>
      <x:c r="I161" s="24"/>
    </x:row>
    <x:row r="162">
      <x:c r="E162" s="21"/>
      <x:c r="I162" s="24"/>
    </x:row>
    <x:row r="163">
      <x:c r="E163" s="21"/>
      <x:c r="I163" s="24"/>
    </x:row>
    <x:row r="164">
      <x:c r="E164" s="21"/>
      <x:c r="I164" s="24"/>
    </x:row>
    <x:row r="165">
      <x:c r="E165" s="21"/>
      <x:c r="I165" s="24"/>
    </x:row>
    <x:row r="166">
      <x:c r="E166" s="21"/>
      <x:c r="I166" s="24"/>
    </x:row>
    <x:row r="167">
      <x:c r="E167" s="21"/>
      <x:c r="I167" s="24"/>
    </x:row>
    <x:row r="168">
      <x:c r="E168" s="21"/>
      <x:c r="I168" s="24"/>
    </x:row>
    <x:row r="169">
      <x:c r="E169" s="21"/>
      <x:c r="I169" s="24"/>
    </x:row>
    <x:row r="170">
      <x:c r="E170" s="21"/>
      <x:c r="I170" s="24"/>
    </x:row>
    <x:row r="171">
      <x:c r="E171" s="21"/>
      <x:c r="I171" s="24"/>
    </x:row>
    <x:row r="172">
      <x:c r="E172" s="21"/>
      <x:c r="I172" s="24"/>
    </x:row>
    <x:row r="173">
      <x:c r="E173" s="21"/>
      <x:c r="I173" s="24"/>
    </x:row>
    <x:row r="174">
      <x:c r="E174" s="21"/>
      <x:c r="I174" s="24"/>
    </x:row>
    <x:row r="175">
      <x:c r="E175" s="21"/>
      <x:c r="I175" s="24"/>
    </x:row>
    <x:row r="176">
      <x:c r="E176" s="21"/>
      <x:c r="I176" s="24"/>
    </x:row>
    <x:row r="177">
      <x:c r="E177" s="21"/>
      <x:c r="I177" s="24"/>
    </x:row>
    <x:row r="178">
      <x:c r="E178" s="21"/>
      <x:c r="I178" s="24"/>
    </x:row>
    <x:row r="179">
      <x:c r="E179" s="21"/>
      <x:c r="I179" s="24"/>
    </x:row>
    <x:row r="180">
      <x:c r="E180" s="21"/>
      <x:c r="I180" s="24"/>
    </x:row>
    <x:row r="181">
      <x:c r="E181" s="21"/>
      <x:c r="I181" s="24"/>
    </x:row>
    <x:row r="182">
      <x:c r="E182" s="21"/>
      <x:c r="I182" s="24"/>
    </x:row>
    <x:row r="183">
      <x:c r="E183" s="21"/>
      <x:c r="I183" s="24"/>
    </x:row>
    <x:row r="184">
      <x:c r="E184" s="21"/>
      <x:c r="I184" s="24"/>
    </x:row>
    <x:row r="185">
      <x:c r="E185" s="21"/>
      <x:c r="I185" s="24"/>
    </x:row>
    <x:row r="186">
      <x:c r="E186" s="21"/>
      <x:c r="I186" s="24"/>
    </x:row>
    <x:row r="187">
      <x:c r="E187" s="21"/>
      <x:c r="I187" s="24"/>
    </x:row>
    <x:row r="188">
      <x:c r="E188" s="21"/>
      <x:c r="I188" s="24"/>
    </x:row>
    <x:row r="189">
      <x:c r="E189" s="21"/>
      <x:c r="I189" s="24"/>
    </x:row>
    <x:row r="190">
      <x:c r="E190" s="21"/>
      <x:c r="I190" s="24"/>
    </x:row>
    <x:row r="191">
      <x:c r="E191" s="21"/>
      <x:c r="I191" s="24"/>
    </x:row>
    <x:row r="192">
      <x:c r="E192" s="21"/>
      <x:c r="I192" s="24"/>
    </x:row>
    <x:row r="193">
      <x:c r="E193" s="21"/>
      <x:c r="I193" s="24"/>
    </x:row>
    <x:row r="194">
      <x:c r="E194" s="21"/>
      <x:c r="I194" s="24"/>
    </x:row>
    <x:row r="195">
      <x:c r="E195" s="21"/>
      <x:c r="I195" s="24"/>
    </x:row>
    <x:row r="196">
      <x:c r="E196" s="21"/>
      <x:c r="I196" s="24"/>
    </x:row>
    <x:row r="197">
      <x:c r="E197" s="21"/>
      <x:c r="I197" s="24"/>
    </x:row>
    <x:row r="198">
      <x:c r="E198" s="21"/>
      <x:c r="I198" s="24"/>
    </x:row>
    <x:row r="199">
      <x:c r="E199" s="21"/>
      <x:c r="I199" s="24"/>
    </x:row>
    <x:row r="200">
      <x:c r="E200" s="21"/>
      <x:c r="I200" s="24"/>
    </x:row>
    <x:row r="201">
      <x:c r="E201" s="21"/>
      <x:c r="I201" s="24"/>
    </x:row>
    <x:row r="202">
      <x:c r="E202" s="21"/>
      <x:c r="I202" s="24"/>
    </x:row>
    <x:row r="203">
      <x:c r="E203" s="21"/>
      <x:c r="I203" s="24"/>
    </x:row>
    <x:row r="204">
      <x:c r="E204" s="21"/>
      <x:c r="I204" s="24"/>
    </x:row>
    <x:row r="205">
      <x:c r="E205" s="21"/>
      <x:c r="I205" s="24"/>
    </x:row>
    <x:row r="206">
      <x:c r="E206" s="21"/>
      <x:c r="I206" s="24"/>
    </x:row>
    <x:row r="207">
      <x:c r="E207" s="21"/>
      <x:c r="I207" s="24"/>
    </x:row>
    <x:row r="208">
      <x:c r="E208" s="21"/>
      <x:c r="I208" s="24"/>
    </x:row>
    <x:row r="209">
      <x:c r="E209" s="21"/>
      <x:c r="I209" s="24"/>
    </x:row>
    <x:row r="210">
      <x:c r="E210" s="21"/>
      <x:c r="I210" s="24"/>
    </x:row>
    <x:row r="211">
      <x:c r="E211" s="21"/>
      <x:c r="I211" s="24"/>
    </x:row>
    <x:row r="212">
      <x:c r="E212" s="21"/>
      <x:c r="I212" s="24"/>
    </x:row>
    <x:row r="213">
      <x:c r="E213" s="21"/>
      <x:c r="I213" s="24"/>
    </x:row>
    <x:row r="214">
      <x:c r="E214" s="21"/>
      <x:c r="I214" s="24"/>
    </x:row>
    <x:row r="215">
      <x:c r="E215" s="21"/>
      <x:c r="I215" s="24"/>
    </x:row>
    <x:row r="216">
      <x:c r="E216" s="21"/>
      <x:c r="I216" s="24"/>
    </x:row>
    <x:row r="217">
      <x:c r="E217" s="21"/>
      <x:c r="I217" s="24"/>
    </x:row>
    <x:row r="218">
      <x:c r="E218" s="21"/>
      <x:c r="I218" s="24"/>
    </x:row>
    <x:row r="219">
      <x:c r="E219" s="21"/>
      <x:c r="I219" s="24"/>
    </x:row>
    <x:row r="220">
      <x:c r="E220" s="21"/>
      <x:c r="I220" s="24"/>
    </x:row>
    <x:row r="221">
      <x:c r="E221" s="21"/>
      <x:c r="I221" s="24"/>
    </x:row>
    <x:row r="222">
      <x:c r="E222" s="21"/>
      <x:c r="I222" s="24"/>
    </x:row>
    <x:row r="223">
      <x:c r="E223" s="21"/>
      <x:c r="I223" s="24"/>
    </x:row>
    <x:row r="224">
      <x:c r="E224" s="21"/>
      <x:c r="I224" s="24"/>
    </x:row>
    <x:row r="225">
      <x:c r="E225" s="21"/>
      <x:c r="I225" s="24"/>
    </x:row>
    <x:row r="226">
      <x:c r="E226" s="21"/>
      <x:c r="I226" s="24"/>
    </x:row>
    <x:row r="227">
      <x:c r="E227" s="21"/>
      <x:c r="I227" s="24"/>
    </x:row>
    <x:row r="228">
      <x:c r="E228" s="21"/>
      <x:c r="I228" s="24"/>
    </x:row>
    <x:row r="229">
      <x:c r="E229" s="21"/>
      <x:c r="I229" s="24"/>
    </x:row>
    <x:row r="230">
      <x:c r="E230" s="21"/>
      <x:c r="I230" s="24"/>
    </x:row>
    <x:row r="231">
      <x:c r="E231" s="21"/>
      <x:c r="I231" s="24"/>
    </x:row>
    <x:row r="232">
      <x:c r="E232" s="21"/>
      <x:c r="I232" s="24"/>
    </x:row>
    <x:row r="233">
      <x:c r="E233" s="21"/>
      <x:c r="I233" s="24"/>
    </x:row>
    <x:row r="234">
      <x:c r="E234" s="21"/>
      <x:c r="I234" s="24"/>
    </x:row>
    <x:row r="235">
      <x:c r="E235" s="21"/>
      <x:c r="I235" s="24"/>
    </x:row>
    <x:row r="236">
      <x:c r="E236" s="21"/>
      <x:c r="I236" s="24"/>
    </x:row>
    <x:row r="237">
      <x:c r="E237" s="21"/>
      <x:c r="I237" s="24"/>
    </x:row>
    <x:row r="238">
      <x:c r="E238" s="21"/>
      <x:c r="I238" s="24"/>
    </x:row>
    <x:row r="239">
      <x:c r="E239" s="21"/>
      <x:c r="I239" s="24"/>
    </x:row>
    <x:row r="240">
      <x:c r="E240" s="21"/>
      <x:c r="I240" s="24"/>
    </x:row>
    <x:row r="241">
      <x:c r="E241" s="21"/>
      <x:c r="I241" s="24"/>
    </x:row>
    <x:row r="242">
      <x:c r="E242" s="21"/>
      <x:c r="I242" s="24"/>
    </x:row>
    <x:row r="243">
      <x:c r="E243" s="21"/>
      <x:c r="I243" s="24"/>
    </x:row>
    <x:row r="244">
      <x:c r="E244" s="21"/>
      <x:c r="I244" s="24"/>
    </x:row>
    <x:row r="245">
      <x:c r="E245" s="21"/>
      <x:c r="I245" s="24"/>
    </x:row>
    <x:row r="246">
      <x:c r="E246" s="21"/>
      <x:c r="I246" s="24"/>
    </x:row>
    <x:row r="247">
      <x:c r="E247" s="21"/>
      <x:c r="I247" s="24"/>
    </x:row>
    <x:row r="248">
      <x:c r="E248" s="21"/>
      <x:c r="I248" s="24"/>
    </x:row>
    <x:row r="249">
      <x:c r="E249" s="21"/>
      <x:c r="I249" s="24"/>
    </x:row>
    <x:row r="250">
      <x:c r="E250" s="21"/>
      <x:c r="I250" s="24"/>
    </x:row>
    <x:row r="251">
      <x:c r="E251" s="21"/>
      <x:c r="I251" s="24"/>
    </x:row>
    <x:row r="252">
      <x:c r="E252" s="21"/>
      <x:c r="I252" s="24"/>
    </x:row>
    <x:row r="253">
      <x:c r="E253" s="21"/>
      <x:c r="I253" s="24"/>
    </x:row>
    <x:row r="254">
      <x:c r="E254" s="21"/>
      <x:c r="I254" s="24"/>
    </x:row>
    <x:row r="255">
      <x:c r="E255" s="21"/>
      <x:c r="I255" s="24"/>
    </x:row>
    <x:row r="256">
      <x:c r="E256" s="21"/>
      <x:c r="I256" s="24"/>
    </x:row>
    <x:row r="257">
      <x:c r="E257" s="21"/>
      <x:c r="I257" s="24"/>
    </x:row>
    <x:row r="258">
      <x:c r="E258" s="21"/>
      <x:c r="I258" s="24"/>
    </x:row>
    <x:row r="259">
      <x:c r="E259" s="21"/>
      <x:c r="I259" s="24"/>
    </x:row>
    <x:row r="260">
      <x:c r="E260" s="21"/>
      <x:c r="I260" s="24"/>
    </x:row>
    <x:row r="261">
      <x:c r="E261" s="21"/>
      <x:c r="I261" s="24"/>
    </x:row>
    <x:row r="262">
      <x:c r="E262" s="21"/>
      <x:c r="I262" s="24"/>
    </x:row>
    <x:row r="263">
      <x:c r="E263" s="21"/>
      <x:c r="I263" s="24"/>
    </x:row>
    <x:row r="264">
      <x:c r="E264" s="21"/>
      <x:c r="I264" s="24"/>
    </x:row>
    <x:row r="265">
      <x:c r="E265" s="21"/>
      <x:c r="I265" s="24"/>
    </x:row>
    <x:row r="266">
      <x:c r="E266" s="21"/>
      <x:c r="I266" s="24"/>
    </x:row>
    <x:row r="267">
      <x:c r="E267" s="21"/>
      <x:c r="I267" s="24"/>
    </x:row>
    <x:row r="268">
      <x:c r="E268" s="21"/>
      <x:c r="I268" s="24"/>
    </x:row>
    <x:row r="269">
      <x:c r="E269" s="21"/>
      <x:c r="I269" s="24"/>
    </x:row>
    <x:row r="270">
      <x:c r="E270" s="21"/>
      <x:c r="I270" s="24"/>
    </x:row>
    <x:row r="271">
      <x:c r="E271" s="21"/>
      <x:c r="I271" s="24"/>
    </x:row>
    <x:row r="272">
      <x:c r="E272" s="21"/>
      <x:c r="I272" s="24"/>
    </x:row>
    <x:row r="273">
      <x:c r="E273" s="21"/>
      <x:c r="I273" s="24"/>
    </x:row>
    <x:row r="274">
      <x:c r="E274" s="21"/>
      <x:c r="I274" s="24"/>
    </x:row>
    <x:row r="275">
      <x:c r="E275" s="21"/>
      <x:c r="I275" s="24"/>
    </x:row>
    <x:row r="276">
      <x:c r="E276" s="21"/>
      <x:c r="I276" s="24"/>
    </x:row>
    <x:row r="277">
      <x:c r="E277" s="21"/>
      <x:c r="I277" s="24"/>
    </x:row>
    <x:row r="278">
      <x:c r="E278" s="21"/>
      <x:c r="I278" s="24"/>
    </x:row>
    <x:row r="279">
      <x:c r="E279" s="21"/>
      <x:c r="I279" s="24"/>
    </x:row>
    <x:row r="280">
      <x:c r="E280" s="21"/>
      <x:c r="I280" s="24"/>
    </x:row>
    <x:row r="281">
      <x:c r="E281" s="21"/>
      <x:c r="I281" s="24"/>
    </x:row>
    <x:row r="282">
      <x:c r="E282" s="21"/>
      <x:c r="I282" s="24"/>
    </x:row>
    <x:row r="283">
      <x:c r="E283" s="21"/>
      <x:c r="I283" s="24"/>
    </x:row>
    <x:row r="284">
      <x:c r="E284" s="21"/>
      <x:c r="I284" s="24"/>
    </x:row>
    <x:row r="285">
      <x:c r="E285" s="21"/>
      <x:c r="I285" s="24"/>
    </x:row>
    <x:row r="286">
      <x:c r="E286" s="21"/>
      <x:c r="I286" s="24"/>
    </x:row>
    <x:row r="287">
      <x:c r="E287" s="21"/>
      <x:c r="I287" s="24"/>
    </x:row>
    <x:row r="288">
      <x:c r="E288" s="21"/>
      <x:c r="I288" s="24"/>
    </x:row>
    <x:row r="289">
      <x:c r="E289" s="21"/>
      <x:c r="I289" s="24"/>
    </x:row>
    <x:row r="290">
      <x:c r="E290" s="21"/>
      <x:c r="I290" s="24"/>
    </x:row>
    <x:row r="291">
      <x:c r="E291" s="21"/>
      <x:c r="I291" s="24"/>
    </x:row>
    <x:row r="292">
      <x:c r="E292" s="21"/>
      <x:c r="I292" s="24"/>
    </x:row>
    <x:row r="293">
      <x:c r="E293" s="21"/>
      <x:c r="I293" s="24"/>
    </x:row>
    <x:row r="294">
      <x:c r="E294" s="21"/>
      <x:c r="I294" s="24"/>
    </x:row>
    <x:row r="295">
      <x:c r="E295" s="21"/>
      <x:c r="I295" s="24"/>
    </x:row>
    <x:row r="296">
      <x:c r="E296" s="21"/>
      <x:c r="I296" s="24"/>
    </x:row>
    <x:row r="297">
      <x:c r="E297" s="21"/>
      <x:c r="I297" s="24"/>
    </x:row>
    <x:row r="298">
      <x:c r="E298" s="21"/>
      <x:c r="I298" s="24"/>
    </x:row>
    <x:row r="299">
      <x:c r="E299" s="21"/>
      <x:c r="I299" s="24"/>
    </x:row>
    <x:row r="300">
      <x:c r="E300" s="21"/>
      <x:c r="I300" s="24"/>
    </x:row>
    <x:row r="301">
      <x:c r="E301" s="21"/>
      <x:c r="I301" s="24"/>
    </x:row>
    <x:row r="302">
      <x:c r="E302" s="21"/>
      <x:c r="I302" s="24"/>
    </x:row>
    <x:row r="303">
      <x:c r="E303" s="21"/>
      <x:c r="I303" s="24"/>
    </x:row>
    <x:row r="304">
      <x:c r="E304" s="21"/>
      <x:c r="I304" s="24"/>
    </x:row>
    <x:row r="305">
      <x:c r="E305" s="21"/>
      <x:c r="I305" s="24"/>
    </x:row>
    <x:row r="306">
      <x:c r="E306" s="21"/>
      <x:c r="I306" s="24"/>
    </x:row>
    <x:row r="307">
      <x:c r="E307" s="21"/>
      <x:c r="I307" s="24"/>
    </x:row>
    <x:row r="308">
      <x:c r="E308" s="21"/>
      <x:c r="I308" s="24"/>
    </x:row>
    <x:row r="309">
      <x:c r="E309" s="21"/>
      <x:c r="I309" s="24"/>
    </x:row>
    <x:row r="310">
      <x:c r="E310" s="21"/>
      <x:c r="I310" s="24"/>
    </x:row>
    <x:row r="311">
      <x:c r="E311" s="21"/>
      <x:c r="I311" s="24"/>
    </x:row>
    <x:row r="312">
      <x:c r="E312" s="21"/>
      <x:c r="I312" s="24"/>
    </x:row>
    <x:row r="313">
      <x:c r="E313" s="21"/>
      <x:c r="I313" s="24"/>
    </x:row>
    <x:row r="314">
      <x:c r="E314" s="21"/>
      <x:c r="I314" s="24"/>
    </x:row>
    <x:row r="315">
      <x:c r="E315" s="21"/>
      <x:c r="I315" s="24"/>
    </x:row>
    <x:row r="316">
      <x:c r="E316" s="21"/>
      <x:c r="I316" s="24"/>
    </x:row>
    <x:row r="317">
      <x:c r="E317" s="21"/>
      <x:c r="I317" s="24"/>
    </x:row>
    <x:row r="318">
      <x:c r="E318" s="21"/>
      <x:c r="I318" s="24"/>
    </x:row>
    <x:row r="319">
      <x:c r="E319" s="21"/>
      <x:c r="I319" s="24"/>
    </x:row>
    <x:row r="320">
      <x:c r="E320" s="21"/>
      <x:c r="I320" s="24"/>
    </x:row>
    <x:row r="321">
      <x:c r="E321" s="21"/>
      <x:c r="I321" s="24"/>
    </x:row>
    <x:row r="322">
      <x:c r="E322" s="21"/>
      <x:c r="I322" s="24"/>
    </x:row>
    <x:row r="323">
      <x:c r="E323" s="21"/>
      <x:c r="I323" s="24"/>
    </x:row>
    <x:row r="324">
      <x:c r="E324" s="21"/>
      <x:c r="I324" s="24"/>
    </x:row>
    <x:row r="325">
      <x:c r="E325" s="21"/>
      <x:c r="I325" s="24"/>
    </x:row>
    <x:row r="326">
      <x:c r="E326" s="21"/>
      <x:c r="I326" s="24"/>
    </x:row>
    <x:row r="327">
      <x:c r="E327" s="21"/>
      <x:c r="I327" s="24"/>
    </x:row>
    <x:row r="328">
      <x:c r="E328" s="21"/>
      <x:c r="I328" s="24"/>
    </x:row>
    <x:row r="329">
      <x:c r="E329" s="21"/>
      <x:c r="I329" s="24"/>
    </x:row>
    <x:row r="330">
      <x:c r="E330" s="21"/>
      <x:c r="I330" s="24"/>
    </x:row>
    <x:row r="331">
      <x:c r="E331" s="21"/>
      <x:c r="I331" s="24"/>
    </x:row>
    <x:row r="332">
      <x:c r="E332" s="21"/>
      <x:c r="I332" s="24"/>
    </x:row>
    <x:row r="333">
      <x:c r="E333" s="21"/>
      <x:c r="I333" s="24"/>
    </x:row>
    <x:row r="334">
      <x:c r="E334" s="21"/>
      <x:c r="I334" s="24"/>
    </x:row>
    <x:row r="335">
      <x:c r="E335" s="21"/>
      <x:c r="I335" s="24"/>
    </x:row>
    <x:row r="336">
      <x:c r="E336" s="21"/>
      <x:c r="I336" s="24"/>
    </x:row>
    <x:row r="337">
      <x:c r="E337" s="21"/>
      <x:c r="I337" s="24"/>
    </x:row>
    <x:row r="338">
      <x:c r="E338" s="21"/>
      <x:c r="I338" s="24"/>
    </x:row>
    <x:row r="339">
      <x:c r="E339" s="21"/>
      <x:c r="I339" s="24"/>
    </x:row>
    <x:row r="340">
      <x:c r="E340" s="21"/>
      <x:c r="I340" s="24"/>
    </x:row>
    <x:row r="341">
      <x:c r="E341" s="21"/>
      <x:c r="I341" s="24"/>
    </x:row>
    <x:row r="342">
      <x:c r="E342" s="21"/>
      <x:c r="I342" s="24"/>
    </x:row>
    <x:row r="343">
      <x:c r="E343" s="21"/>
      <x:c r="I343" s="24"/>
    </x:row>
    <x:row r="344">
      <x:c r="E344" s="21"/>
      <x:c r="I344" s="24"/>
    </x:row>
    <x:row r="345">
      <x:c r="E345" s="21"/>
      <x:c r="I345" s="24"/>
    </x:row>
    <x:row r="346">
      <x:c r="E346" s="21"/>
      <x:c r="I346" s="24"/>
    </x:row>
    <x:row r="347">
      <x:c r="E347" s="21"/>
      <x:c r="I347" s="24"/>
    </x:row>
    <x:row r="348">
      <x:c r="E348" s="21"/>
      <x:c r="I348" s="24"/>
    </x:row>
    <x:row r="349">
      <x:c r="E349" s="21"/>
      <x:c r="I349" s="24"/>
    </x:row>
    <x:row r="350">
      <x:c r="E350" s="21"/>
      <x:c r="I350" s="24"/>
    </x:row>
    <x:row r="351">
      <x:c r="E351" s="21"/>
      <x:c r="I351" s="24"/>
    </x:row>
    <x:row r="352">
      <x:c r="E352" s="21"/>
      <x:c r="I352" s="24"/>
    </x:row>
    <x:row r="353">
      <x:c r="E353" s="21"/>
      <x:c r="I353" s="24"/>
    </x:row>
    <x:row r="354">
      <x:c r="E354" s="21"/>
      <x:c r="I354" s="24"/>
    </x:row>
    <x:row r="355">
      <x:c r="E355" s="21"/>
      <x:c r="I355" s="24"/>
    </x:row>
    <x:row r="356">
      <x:c r="E356" s="21"/>
      <x:c r="I356" s="24"/>
    </x:row>
    <x:row r="357">
      <x:c r="E357" s="21"/>
      <x:c r="I357" s="24"/>
    </x:row>
    <x:row r="358">
      <x:c r="E358" s="21"/>
      <x:c r="I358" s="24"/>
    </x:row>
    <x:row r="359">
      <x:c r="E359" s="21"/>
      <x:c r="I359" s="24"/>
    </x:row>
    <x:row r="360">
      <x:c r="E360" s="21"/>
      <x:c r="I360" s="24"/>
    </x:row>
    <x:row r="361">
      <x:c r="E361" s="21"/>
      <x:c r="I361" s="24"/>
    </x:row>
    <x:row r="362">
      <x:c r="E362" s="21"/>
      <x:c r="I362" s="24"/>
    </x:row>
    <x:row r="363">
      <x:c r="E363" s="21"/>
      <x:c r="I363" s="24"/>
    </x:row>
    <x:row r="364">
      <x:c r="E364" s="21"/>
      <x:c r="I364" s="24"/>
    </x:row>
    <x:row r="365">
      <x:c r="E365" s="21"/>
      <x:c r="I365" s="24"/>
    </x:row>
    <x:row r="366">
      <x:c r="E366" s="21"/>
      <x:c r="I366" s="24"/>
    </x:row>
    <x:row r="367">
      <x:c r="E367" s="21"/>
      <x:c r="I367" s="24"/>
    </x:row>
    <x:row r="368">
      <x:c r="E368" s="21"/>
      <x:c r="I368" s="24"/>
    </x:row>
    <x:row r="369">
      <x:c r="E369" s="21"/>
      <x:c r="I369" s="24"/>
    </x:row>
    <x:row r="370">
      <x:c r="E370" s="21"/>
      <x:c r="I370" s="24"/>
    </x:row>
    <x:row r="371">
      <x:c r="E371" s="21"/>
      <x:c r="I371" s="24"/>
    </x:row>
    <x:row r="372">
      <x:c r="E372" s="21"/>
      <x:c r="I372" s="24"/>
    </x:row>
    <x:row r="373">
      <x:c r="E373" s="21"/>
      <x:c r="I373" s="24"/>
    </x:row>
    <x:row r="374">
      <x:c r="E374" s="21"/>
      <x:c r="I374" s="24"/>
    </x:row>
    <x:row r="375">
      <x:c r="E375" s="21"/>
      <x:c r="I375" s="24"/>
    </x:row>
    <x:row r="376">
      <x:c r="E376" s="21"/>
      <x:c r="I376" s="24"/>
    </x:row>
    <x:row r="377">
      <x:c r="E377" s="21"/>
      <x:c r="I377" s="24"/>
    </x:row>
    <x:row r="378">
      <x:c r="E378" s="21"/>
      <x:c r="I378" s="24"/>
    </x:row>
    <x:row r="379">
      <x:c r="E379" s="21"/>
      <x:c r="I379" s="24"/>
    </x:row>
    <x:row r="380">
      <x:c r="E380" s="21"/>
      <x:c r="I380" s="24"/>
    </x:row>
    <x:row r="381">
      <x:c r="E381" s="21"/>
      <x:c r="I381" s="24"/>
    </x:row>
    <x:row r="382">
      <x:c r="E382" s="21"/>
      <x:c r="I382" s="24"/>
    </x:row>
    <x:row r="383">
      <x:c r="E383" s="21"/>
      <x:c r="I383" s="24"/>
    </x:row>
    <x:row r="384">
      <x:c r="E384" s="21"/>
      <x:c r="I384" s="24"/>
    </x:row>
    <x:row r="385">
      <x:c r="E385" s="21"/>
      <x:c r="I385" s="24"/>
    </x:row>
    <x:row r="386">
      <x:c r="E386" s="21"/>
      <x:c r="I386" s="24"/>
    </x:row>
    <x:row r="387">
      <x:c r="E387" s="21"/>
      <x:c r="I387" s="24"/>
    </x:row>
    <x:row r="388">
      <x:c r="E388" s="21"/>
      <x:c r="I388" s="24"/>
    </x:row>
    <x:row r="389">
      <x:c r="E389" s="21"/>
      <x:c r="I389" s="24"/>
    </x:row>
    <x:row r="390">
      <x:c r="E390" s="21"/>
      <x:c r="I390" s="24"/>
    </x:row>
    <x:row r="391">
      <x:c r="E391" s="21"/>
      <x:c r="I391" s="24"/>
    </x:row>
    <x:row r="392">
      <x:c r="E392" s="21"/>
      <x:c r="I392" s="24"/>
    </x:row>
    <x:row r="393">
      <x:c r="E393" s="21"/>
      <x:c r="I393" s="24"/>
    </x:row>
    <x:row r="394">
      <x:c r="E394" s="21"/>
      <x:c r="I394" s="24"/>
    </x:row>
    <x:row r="395">
      <x:c r="E395" s="21"/>
      <x:c r="I395" s="24"/>
    </x:row>
    <x:row r="396">
      <x:c r="E396" s="21"/>
      <x:c r="I396" s="24"/>
    </x:row>
    <x:row r="397">
      <x:c r="E397" s="21"/>
      <x:c r="I397" s="24"/>
    </x:row>
    <x:row r="398">
      <x:c r="E398" s="21"/>
      <x:c r="I398" s="24"/>
    </x:row>
    <x:row r="399">
      <x:c r="E399" s="21"/>
      <x:c r="I399" s="24"/>
    </x:row>
    <x:row r="400">
      <x:c r="E400" s="21"/>
      <x:c r="I400" s="24"/>
    </x:row>
    <x:row r="401">
      <x:c r="E401" s="21"/>
      <x:c r="I401" s="24"/>
    </x:row>
    <x:row r="402">
      <x:c r="E402" s="21"/>
      <x:c r="I402" s="24"/>
    </x:row>
    <x:row r="403">
      <x:c r="E403" s="21"/>
      <x:c r="I403" s="24"/>
    </x:row>
    <x:row r="404">
      <x:c r="E404" s="21"/>
      <x:c r="I404" s="24"/>
    </x:row>
    <x:row r="405">
      <x:c r="E405" s="21"/>
      <x:c r="I405" s="24"/>
    </x:row>
    <x:row r="406">
      <x:c r="E406" s="21"/>
      <x:c r="I406" s="24"/>
    </x:row>
    <x:row r="407">
      <x:c r="E407" s="21"/>
      <x:c r="I407" s="24"/>
    </x:row>
    <x:row r="408">
      <x:c r="E408" s="21"/>
      <x:c r="I408" s="24"/>
    </x:row>
    <x:row r="409">
      <x:c r="E409" s="21"/>
      <x:c r="I409" s="24"/>
    </x:row>
    <x:row r="410">
      <x:c r="E410" s="21"/>
      <x:c r="I410" s="24"/>
    </x:row>
    <x:row r="411">
      <x:c r="E411" s="21"/>
      <x:c r="I411" s="24"/>
    </x:row>
    <x:row r="412">
      <x:c r="E412" s="21"/>
      <x:c r="I412" s="24"/>
    </x:row>
    <x:row r="413">
      <x:c r="E413" s="21"/>
      <x:c r="I413" s="24"/>
    </x:row>
    <x:row r="414">
      <x:c r="E414" s="21"/>
      <x:c r="I414" s="24"/>
    </x:row>
    <x:row r="415">
      <x:c r="E415" s="21"/>
      <x:c r="I415" s="24"/>
    </x:row>
    <x:row r="416">
      <x:c r="E416" s="21"/>
      <x:c r="I416" s="24"/>
    </x:row>
    <x:row r="417">
      <x:c r="E417" s="21"/>
      <x:c r="I417" s="24"/>
    </x:row>
    <x:row r="418">
      <x:c r="E418" s="21"/>
      <x:c r="I418" s="24"/>
    </x:row>
    <x:row r="419">
      <x:c r="E419" s="21"/>
      <x:c r="I419" s="24"/>
    </x:row>
    <x:row r="420">
      <x:c r="E420" s="21"/>
      <x:c r="I420" s="24"/>
    </x:row>
    <x:row r="421">
      <x:c r="E421" s="21"/>
      <x:c r="I421" s="24"/>
    </x:row>
    <x:row r="422">
      <x:c r="E422" s="21"/>
      <x:c r="I422" s="24"/>
    </x:row>
    <x:row r="423">
      <x:c r="E423" s="21"/>
      <x:c r="I423" s="24"/>
    </x:row>
    <x:row r="424">
      <x:c r="E424" s="21"/>
      <x:c r="I424" s="24"/>
    </x:row>
    <x:row r="425">
      <x:c r="E425" s="21"/>
      <x:c r="I425" s="24"/>
    </x:row>
    <x:row r="426">
      <x:c r="E426" s="21"/>
      <x:c r="I426" s="24"/>
    </x:row>
    <x:row r="427">
      <x:c r="E427" s="21"/>
      <x:c r="I427" s="24"/>
    </x:row>
    <x:row r="428">
      <x:c r="E428" s="21"/>
      <x:c r="I428" s="24"/>
    </x:row>
    <x:row r="429">
      <x:c r="E429" s="21"/>
      <x:c r="I429" s="24"/>
    </x:row>
    <x:row r="430">
      <x:c r="E430" s="21"/>
      <x:c r="I430" s="24"/>
    </x:row>
    <x:row r="431">
      <x:c r="E431" s="21"/>
      <x:c r="I431" s="24"/>
    </x:row>
    <x:row r="432">
      <x:c r="E432" s="21"/>
      <x:c r="I432" s="24"/>
    </x:row>
    <x:row r="433">
      <x:c r="E433" s="21"/>
      <x:c r="I433" s="24"/>
    </x:row>
    <x:row r="434">
      <x:c r="E434" s="21"/>
      <x:c r="I434" s="24"/>
    </x:row>
    <x:row r="435">
      <x:c r="E435" s="21"/>
      <x:c r="I435" s="24"/>
    </x:row>
    <x:row r="436">
      <x:c r="E436" s="21"/>
      <x:c r="I436" s="24"/>
    </x:row>
    <x:row r="437">
      <x:c r="E437" s="21"/>
      <x:c r="I437" s="24"/>
    </x:row>
    <x:row r="438">
      <x:c r="E438" s="21"/>
      <x:c r="I438" s="24"/>
    </x:row>
    <x:row r="439">
      <x:c r="E439" s="21"/>
      <x:c r="I439" s="24"/>
    </x:row>
    <x:row r="440">
      <x:c r="E440" s="21"/>
      <x:c r="I440" s="24"/>
    </x:row>
    <x:row r="441">
      <x:c r="E441" s="21"/>
      <x:c r="I441" s="24"/>
    </x:row>
    <x:row r="442">
      <x:c r="E442" s="21"/>
      <x:c r="I442" s="24"/>
    </x:row>
    <x:row r="443">
      <x:c r="E443" s="21"/>
      <x:c r="I443" s="24"/>
    </x:row>
    <x:row r="444">
      <x:c r="E444" s="21"/>
      <x:c r="I444" s="24"/>
    </x:row>
    <x:row r="445">
      <x:c r="E445" s="21"/>
      <x:c r="I445" s="24"/>
    </x:row>
    <x:row r="446">
      <x:c r="E446" s="21"/>
      <x:c r="I446" s="24"/>
    </x:row>
    <x:row r="447">
      <x:c r="E447" s="21"/>
      <x:c r="I447" s="24"/>
    </x:row>
    <x:row r="448">
      <x:c r="E448" s="21"/>
      <x:c r="I448" s="24"/>
    </x:row>
    <x:row r="449">
      <x:c r="E449" s="21"/>
      <x:c r="I449" s="24"/>
    </x:row>
    <x:row r="450">
      <x:c r="E450" s="21"/>
      <x:c r="I450" s="24"/>
    </x:row>
    <x:row r="451">
      <x:c r="E451" s="21"/>
      <x:c r="I451" s="24"/>
    </x:row>
    <x:row r="452">
      <x:c r="E452" s="21"/>
      <x:c r="I452" s="24"/>
    </x:row>
    <x:row r="453">
      <x:c r="E453" s="21"/>
      <x:c r="I453" s="24"/>
    </x:row>
    <x:row r="454">
      <x:c r="E454" s="21"/>
      <x:c r="I454" s="24"/>
    </x:row>
    <x:row r="455">
      <x:c r="E455" s="21"/>
      <x:c r="I455" s="24"/>
    </x:row>
    <x:row r="456">
      <x:c r="E456" s="21"/>
      <x:c r="I456" s="24"/>
    </x:row>
    <x:row r="457">
      <x:c r="E457" s="21"/>
      <x:c r="I457" s="24"/>
    </x:row>
    <x:row r="458">
      <x:c r="E458" s="21"/>
      <x:c r="I458" s="24"/>
    </x:row>
    <x:row r="459">
      <x:c r="E459" s="21"/>
      <x:c r="I459" s="24"/>
    </x:row>
    <x:row r="460">
      <x:c r="E460" s="21"/>
      <x:c r="I460" s="24"/>
    </x:row>
    <x:row r="461">
      <x:c r="E461" s="21"/>
      <x:c r="I461" s="24"/>
    </x:row>
    <x:row r="462">
      <x:c r="E462" s="21"/>
      <x:c r="I462" s="24"/>
    </x:row>
    <x:row r="463">
      <x:c r="E463" s="21"/>
      <x:c r="I463" s="24"/>
    </x:row>
    <x:row r="464">
      <x:c r="E464" s="21"/>
      <x:c r="I464" s="24"/>
    </x:row>
    <x:row r="465">
      <x:c r="E465" s="21"/>
      <x:c r="I465" s="24"/>
    </x:row>
    <x:row r="466">
      <x:c r="E466" s="21"/>
      <x:c r="I466" s="24"/>
    </x:row>
    <x:row r="467">
      <x:c r="E467" s="21"/>
      <x:c r="I467" s="24"/>
    </x:row>
    <x:row r="468">
      <x:c r="E468" s="21"/>
      <x:c r="I468" s="24"/>
    </x:row>
    <x:row r="469">
      <x:c r="E469" s="21"/>
      <x:c r="I469" s="24"/>
    </x:row>
    <x:row r="470">
      <x:c r="E470" s="21"/>
      <x:c r="I470" s="24"/>
    </x:row>
    <x:row r="471">
      <x:c r="E471" s="21"/>
      <x:c r="I471" s="24"/>
    </x:row>
    <x:row r="472">
      <x:c r="E472" s="21"/>
      <x:c r="I472" s="24"/>
    </x:row>
    <x:row r="473">
      <x:c r="E473" s="21"/>
      <x:c r="I473" s="24"/>
    </x:row>
    <x:row r="474">
      <x:c r="E474" s="21"/>
      <x:c r="I474" s="24"/>
    </x:row>
    <x:row r="475">
      <x:c r="E475" s="21"/>
      <x:c r="I475" s="24"/>
    </x:row>
    <x:row r="476">
      <x:c r="E476" s="21"/>
      <x:c r="I476" s="24"/>
    </x:row>
    <x:row r="477">
      <x:c r="E477" s="21"/>
      <x:c r="I477" s="24"/>
    </x:row>
    <x:row r="478">
      <x:c r="E478" s="21"/>
      <x:c r="I478" s="24"/>
    </x:row>
    <x:row r="479">
      <x:c r="E479" s="21"/>
      <x:c r="I479" s="24"/>
    </x:row>
    <x:row r="480">
      <x:c r="E480" s="21"/>
      <x:c r="I480" s="24"/>
    </x:row>
    <x:row r="481">
      <x:c r="E481" s="21"/>
      <x:c r="I481" s="24"/>
    </x:row>
    <x:row r="482">
      <x:c r="E482" s="21"/>
      <x:c r="I482" s="24"/>
    </x:row>
    <x:row r="483">
      <x:c r="E483" s="21"/>
      <x:c r="I483" s="24"/>
    </x:row>
    <x:row r="484">
      <x:c r="E484" s="21"/>
      <x:c r="I484" s="24"/>
    </x:row>
    <x:row r="485">
      <x:c r="E485" s="21"/>
      <x:c r="I485" s="24"/>
    </x:row>
    <x:row r="486">
      <x:c r="E486" s="21"/>
      <x:c r="I486" s="24"/>
    </x:row>
    <x:row r="487">
      <x:c r="E487" s="21"/>
      <x:c r="I487" s="24"/>
    </x:row>
    <x:row r="488">
      <x:c r="E488" s="21"/>
      <x:c r="I488" s="24"/>
    </x:row>
    <x:row r="489">
      <x:c r="E489" s="21"/>
      <x:c r="I489" s="24"/>
    </x:row>
    <x:row r="490">
      <x:c r="E490" s="21"/>
      <x:c r="I490" s="24"/>
    </x:row>
    <x:row r="491">
      <x:c r="E491" s="21"/>
      <x:c r="I491" s="24"/>
    </x:row>
    <x:row r="492">
      <x:c r="E492" s="21"/>
      <x:c r="I492" s="24"/>
    </x:row>
    <x:row r="493">
      <x:c r="E493" s="21"/>
      <x:c r="I493" s="24"/>
    </x:row>
    <x:row r="494">
      <x:c r="E494" s="21"/>
      <x:c r="I494" s="24"/>
    </x:row>
    <x:row r="495">
      <x:c r="E495" s="21"/>
      <x:c r="I495" s="24"/>
    </x:row>
    <x:row r="496">
      <x:c r="E496" s="21"/>
      <x:c r="I496" s="24"/>
    </x:row>
    <x:row r="497">
      <x:c r="E497" s="21"/>
      <x:c r="I497" s="24"/>
    </x:row>
    <x:row r="498">
      <x:c r="E498" s="21"/>
      <x:c r="I498" s="24"/>
    </x:row>
    <x:row r="499">
      <x:c r="E499" s="21"/>
      <x:c r="I499" s="24"/>
    </x:row>
    <x:row r="500">
      <x:c r="E500" s="21"/>
      <x:c r="I500" s="24"/>
    </x:row>
    <x:row r="501">
      <x:c r="E501" s="21"/>
      <x:c r="I501" s="24"/>
    </x:row>
    <x:row r="502">
      <x:c r="E502" s="21"/>
      <x:c r="I502" s="24"/>
    </x:row>
    <x:row r="503">
      <x:c r="E503" s="21"/>
      <x:c r="I503" s="24"/>
    </x:row>
    <x:row r="504">
      <x:c r="E504" s="21"/>
      <x:c r="I504" s="24"/>
    </x:row>
  </x:sheetData>
  <x:mergeCells>
    <x:mergeCell ref="A1:L1"/>
    <x:mergeCell ref="A2:L2"/>
  </x:mergeCells>
  <x:dataValidations count="2">
    <x:dataValidation type="decimal" operator="between" sqref="J5:J504">
      <x:formula1>0</x:formula1>
      <x:formula2>10</x:formula2>
    </x:dataValidation>
    <x:dataValidation type="list" sqref="G5:G504">
      <x:formula1>"中国大陆,香港,台湾,美国,欧洲/大洋洲,其他地区,待确认"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12486c679a44597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5" hidden="0" customWidth="1"/>
  </x:cols>
  <x:sheetData>
    <x:row r="1" ht="34" customHeight="1">
      <x:c r="A1" s="3" t="str">
        <x:v>统计 · 仅根据本地电影数据库计算</x:v>
      </x:c>
      <x:c r="B1" s="3"/>
      <x:c r="C1" s="3"/>
      <x:c r="D1" s="3"/>
      <x:c r="E1" s="3"/>
      <x:c r="F1" s="3"/>
      <x:c r="G1" s="3"/>
      <x:c r="H1" s="3"/>
    </x:row>
    <x:row r="3">
      <x:c r="A3" s="12" t="str">
        <x:v>指标</x:v>
      </x:c>
      <x:c r="B3" s="12" t="str">
        <x:v>数量</x:v>
      </x:c>
    </x:row>
    <x:row r="4">
      <x:c r="A4" s="68" t="str">
        <x:v>电影总数</x:v>
      </x:c>
      <x:c r="B4" s="69" t="n">
        <x:f>COUNTA('电影数据库'!$B$5:$B$504)</x:f>
        <x:v>0</x:v>
      </x:c>
    </x:row>
    <x:row r="5">
      <x:c r="A5" s="68" t="str">
        <x:v>中国大陆</x:v>
      </x:c>
      <x:c r="B5" s="69" t="n">
        <x:f>COUNTIF('电影数据库'!$G$5:$G$504,A5)</x:f>
        <x:v>0</x:v>
      </x:c>
    </x:row>
    <x:row r="6">
      <x:c r="A6" s="68" t="str">
        <x:v>香港</x:v>
      </x:c>
      <x:c r="B6" s="69" t="n">
        <x:f>COUNTIF('电影数据库'!$G$5:$G$504,A6)</x:f>
        <x:v>0</x:v>
      </x:c>
    </x:row>
    <x:row r="7">
      <x:c r="A7" s="68" t="str">
        <x:v>台湾</x:v>
      </x:c>
      <x:c r="B7" s="69" t="n">
        <x:f>COUNTIF('电影数据库'!$G$5:$G$504,A7)</x:f>
        <x:v>0</x:v>
      </x:c>
    </x:row>
    <x:row r="8">
      <x:c r="A8" s="68" t="str">
        <x:v>美国</x:v>
      </x:c>
      <x:c r="B8" s="69" t="n">
        <x:f>COUNTIF('电影数据库'!$G$5:$G$504,A8)</x:f>
        <x:v>0</x:v>
      </x:c>
    </x:row>
    <x:row r="9">
      <x:c r="A9" s="68" t="str">
        <x:v>欧洲/大洋洲</x:v>
      </x:c>
      <x:c r="B9" s="69" t="n">
        <x:f>COUNTIF('电影数据库'!$G$5:$G$504,A9)</x:f>
        <x:v>0</x:v>
      </x:c>
    </x:row>
    <x:row r="10">
      <x:c r="A10" s="68" t="str">
        <x:v>其他地区</x:v>
      </x:c>
      <x:c r="B10" s="69" t="n">
        <x:f>COUNTIF('电影数据库'!$G$5:$G$504,A10)</x:f>
        <x:v>0</x:v>
      </x:c>
    </x:row>
    <x:row r="11">
      <x:c r="A11" s="68" t="str">
        <x:v>待确认</x:v>
      </x:c>
      <x:c r="B11" s="69" t="n">
        <x:f>COUNTIF('电影数据库'!$G$5:$G$504,A11)</x:f>
        <x:v>0</x:v>
      </x:c>
    </x:row>
  </x:sheetData>
  <x:mergeCells>
    <x:mergeCell ref="A1:H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58" hidden="0" customWidth="1"/>
  </x:cols>
  <x:sheetData>
    <x:row r="1" ht="34" customHeight="1">
      <x:c r="A1" s="3" t="str">
        <x:v>Movie to Excel · 设置</x:v>
      </x:c>
      <x:c r="B1" s="3"/>
      <x:c r="C1" s="3"/>
      <x:c r="D1" s="3"/>
      <x:c r="E1" s="3"/>
      <x:c r="F1" s="3"/>
    </x:row>
    <x:row r="3">
      <x:c r="A3" s="8" t="str">
        <x:v>设置项</x:v>
      </x:c>
      <x:c r="B3" s="8" t="str">
        <x:v>当前选择</x:v>
      </x:c>
    </x:row>
    <x:row r="4">
      <x:c r="A4" s="9" t="str">
        <x:v>展示模式</x:v>
      </x:c>
      <x:c r="B4" s="10" t="str">
        <x:v>地区概览</x:v>
      </x:c>
    </x:row>
    <x:row r="5">
      <x:c r="A5" s="9" t="str">
        <x:v>界面语言</x:v>
      </x:c>
      <x:c r="B5" s="10" t="str">
        <x:v>中文 + English</x:v>
      </x:c>
    </x:row>
    <x:row r="6">
      <x:c r="A6" s="9" t="str">
        <x:v>日期格式</x:v>
      </x:c>
      <x:c r="B6" s="10" t="str">
        <x:v>yyyy-mm-dd</x:v>
      </x:c>
    </x:row>
    <x:row r="7">
      <x:c r="A7" s="9" t="str">
        <x:v>联网核对</x:v>
      </x:c>
      <x:c r="B7" s="10" t="str">
        <x:v>开启</x:v>
      </x:c>
    </x:row>
    <x:row r="8">
      <x:c r="A8" s="9" t="str">
        <x:v>说明</x:v>
      </x:c>
      <x:c r="B8" s="11" t="str">
        <x:v>联网只用于核对公开电影资料；观影档案保存在本地 Excel。</x:v>
      </x:c>
    </x:row>
    <x:row r="9">
      <x:c r="A9" s="11"/>
      <x:c r="B9" s="11"/>
    </x:row>
    <x:row r="10">
      <x:c r="A10" s="12" t="str">
        <x:v>地区分类</x:v>
      </x:c>
      <x:c r="B10" s="12" t="str">
        <x:v>用途</x:v>
      </x:c>
    </x:row>
    <x:row r="11">
      <x:c r="A11" s="11" t="str">
        <x:v>中国大陆</x:v>
      </x:c>
      <x:c r="B11" s="11" t="str">
        <x:v>Mainland China</x:v>
      </x:c>
    </x:row>
    <x:row r="12">
      <x:c r="A12" s="11" t="str">
        <x:v>香港</x:v>
      </x:c>
      <x:c r="B12" s="11" t="str">
        <x:v>Hong Kong</x:v>
      </x:c>
    </x:row>
    <x:row r="13">
      <x:c r="A13" s="11" t="str">
        <x:v>台湾</x:v>
      </x:c>
      <x:c r="B13" s="11" t="str">
        <x:v>Taiwan</x:v>
      </x:c>
    </x:row>
    <x:row r="14">
      <x:c r="A14" s="11" t="str">
        <x:v>美国</x:v>
      </x:c>
      <x:c r="B14" s="11" t="str">
        <x:v>United States</x:v>
      </x:c>
    </x:row>
    <x:row r="15">
      <x:c r="A15" s="11" t="str">
        <x:v>欧洲/大洋洲</x:v>
      </x:c>
      <x:c r="B15" s="11" t="str">
        <x:v>Europe / Oceania</x:v>
      </x:c>
    </x:row>
    <x:row r="16">
      <x:c r="A16" s="11" t="str">
        <x:v>其他地区</x:v>
      </x:c>
      <x:c r="B16" s="11" t="str">
        <x:v>Other regions</x:v>
      </x:c>
    </x:row>
    <x:row r="17">
      <x:c r="A17" s="11" t="str">
        <x:v>待确认</x:v>
      </x:c>
      <x:c r="B17" s="11" t="str">
        <x:v>信息不足时暂存</x:v>
      </x:c>
    </x:row>
  </x:sheetData>
  <x:mergeCells>
    <x:mergeCell ref="A1:F1"/>
  </x:mergeCells>
  <x:dataValidations count="4">
    <x:dataValidation type="list" sqref="B4">
      <x:formula1>"地区概览,地区横向完整,标准清单"</x:formula1>
    </x:dataValidation>
    <x:dataValidation type="list" sqref="B5">
      <x:formula1>"中文 + English,中文,English"</x:formula1>
    </x:dataValidation>
    <x:dataValidation type="list" sqref="B6">
      <x:formula1>"yyyy-mm-dd,yyyy/mm/dd,dd/mm/yyyy"</x:formula1>
    </x:dataValidation>
    <x:dataValidation type="list" sqref="B7">
      <x:formula1>"开启,关闭"</x:formula1>
    </x:dataValidation>
  </x:dataValidations>
  <x:pageMargins left="0.7" right="0.7" top="0.75" bottom="0.75" header="0.3" footer="0.3"/>
</x:worksheet>
</file>